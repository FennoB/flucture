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1BKO\Kundenordner\Gesundheit\Aufträge\Uniklinik Aachen\UHR IZDM\VG_Entw\"/>
    </mc:Choice>
  </mc:AlternateContent>
  <xr:revisionPtr revIDLastSave="0" documentId="13_ncr:1_{491EDCFB-9ED5-4A8A-B999-05727D48BE1A}" xr6:coauthVersionLast="45" xr6:coauthVersionMax="45" xr10:uidLastSave="{00000000-0000-0000-0000-000000000000}"/>
  <bookViews>
    <workbookView xWindow="24" yWindow="0" windowWidth="25848" windowHeight="12108" tabRatio="518" xr2:uid="{00000000-000D-0000-FFFF-FFFF00000000}"/>
  </bookViews>
  <sheets>
    <sheet name="Deckblatt" sheetId="43" r:id="rId1"/>
    <sheet name="Angebotszusammenstellung" sheetId="41" r:id="rId2"/>
    <sheet name="UKA_Aussengebäude_Übersicht" sheetId="32" state="hidden" r:id="rId3"/>
    <sheet name="IZDM" sheetId="30" r:id="rId4"/>
    <sheet name="Berechnung SVS" sheetId="24" r:id="rId5"/>
    <sheet name="R_Häufigkeit_Faktoren UHR" sheetId="26" r:id="rId6"/>
    <sheet name="Raumgruppen_Leistungswerte" sheetId="29" r:id="rId7"/>
  </sheets>
  <definedNames>
    <definedName name="_xlnm._FilterDatabase" localSheetId="3" hidden="1">IZDM!$A$3:$AC$404</definedName>
    <definedName name="_Toc413163689" localSheetId="0">Deckblatt!#REF!</definedName>
    <definedName name="Bereich_1">IZDM!$E$5:$E$404</definedName>
    <definedName name="_xlnm.Print_Area" localSheetId="1">Angebotszusammenstellung!$A$1:$J$27</definedName>
    <definedName name="_xlnm.Print_Area" localSheetId="4">'Berechnung SVS'!$A$1:$J$64</definedName>
    <definedName name="_xlnm.Print_Area" localSheetId="0">Deckblatt!$A$1:$E$34</definedName>
    <definedName name="_xlnm.Print_Area" localSheetId="3">IZDM!$A$1:$AC$410</definedName>
    <definedName name="_xlnm.Print_Area" localSheetId="5">'R_Häufigkeit_Faktoren UHR'!$A$1:$I$25</definedName>
    <definedName name="_xlnm.Print_Area" localSheetId="6">Raumgruppen_Leistungswerte!$A$1:$V$40</definedName>
    <definedName name="_xlnm.Print_Area" localSheetId="2">UKA_Aussengebäude_Übersicht!$A$1:$R$20</definedName>
    <definedName name="_xlnm.Print_Titles" localSheetId="3">IZDM!$3:$3</definedName>
    <definedName name="Grundfläche">IZDM!$G$5:$G$404</definedName>
    <definedName name="Grundfläche_AOZ" localSheetId="1">#REF!</definedName>
    <definedName name="Grundfläche_AOZ">#REF!</definedName>
    <definedName name="Grundfläche_SHK" localSheetId="1">#REF!</definedName>
    <definedName name="Grundfläche_SHK">#REF!</definedName>
    <definedName name="Grundfläche_WH" localSheetId="1">#REF!</definedName>
    <definedName name="Grundfläche_WH">#REF!</definedName>
    <definedName name="Monatsfläche_AOZ_GESAMT" localSheetId="1">#REF!</definedName>
    <definedName name="Monatsfläche_AOZ_GESAMT">#REF!</definedName>
    <definedName name="Monatsfläche_AOZ_Werktag" localSheetId="1">#REF!</definedName>
    <definedName name="Monatsfläche_AOZ_Werktag">#REF!</definedName>
    <definedName name="Monatsfläche_SHK_GESAMT" localSheetId="1">#REF!</definedName>
    <definedName name="Monatsfläche_SHK_GESAMT">#REF!</definedName>
    <definedName name="Monatsfläche_SHK_Sonntag" localSheetId="1">#REF!</definedName>
    <definedName name="Monatsfläche_SHK_Sonntag">#REF!</definedName>
    <definedName name="Monatsfläche_SHK_Werktag" localSheetId="1">#REF!</definedName>
    <definedName name="Monatsfläche_SHK_Werktag">#REF!</definedName>
    <definedName name="Monatsfläche_VEH_Gesamt">IZDM!$Z$5:$Z$404</definedName>
    <definedName name="Monatsfläche_VEH_Sonntag">IZDM!$U$5:$U$404</definedName>
    <definedName name="Monatsfläche_VEH_Werktag">IZDM!$O$5:$O$404</definedName>
    <definedName name="Monatsfläche_WH_GESAMT" localSheetId="1">#REF!</definedName>
    <definedName name="Monatsfläche_WH_GESAMT">#REF!</definedName>
    <definedName name="Monatsfläche_WH_Werktag" localSheetId="1">#REF!</definedName>
    <definedName name="Monatsfläche_WH_Werktag">#REF!</definedName>
    <definedName name="Monatspreis_AOZ_GESAMT" localSheetId="1">#REF!</definedName>
    <definedName name="Monatspreis_AOZ_GESAMT">#REF!</definedName>
    <definedName name="Monatspreis_AOZ_Werktag" localSheetId="1">#REF!</definedName>
    <definedName name="Monatspreis_AOZ_Werktag">#REF!</definedName>
    <definedName name="Monatspreis_SHK_GESAMT" localSheetId="1">#REF!</definedName>
    <definedName name="Monatspreis_SHK_GESAMT">#REF!</definedName>
    <definedName name="Monatspreis_SHK_Sonntag" localSheetId="1">#REF!</definedName>
    <definedName name="Monatspreis_SHK_Sonntag">#REF!</definedName>
    <definedName name="Monatspreis_SHK_Werktag" localSheetId="1">#REF!</definedName>
    <definedName name="Monatspreis_SHK_Werktag">#REF!</definedName>
    <definedName name="Monatspreis_VEH_Gesamt">IZDM!$AB$5:$AB$404</definedName>
    <definedName name="Monatspreis_VEH_Sonntag">IZDM!$Y$5:$Y$404</definedName>
    <definedName name="Monatspreis_VEH_Werktags">IZDM!$S$5:$S$404</definedName>
    <definedName name="Monatspreis_WH_GESAMT" localSheetId="1">#REF!</definedName>
    <definedName name="Monatspreis_WH_GESAMT">#REF!</definedName>
    <definedName name="Monatspreis_WH_Werktag" localSheetId="1">#REF!</definedName>
    <definedName name="Monatspreis_WH_Werktag">#REF!</definedName>
    <definedName name="Monatsstunden_AOZ_GESAMT" localSheetId="1">#REF!</definedName>
    <definedName name="Monatsstunden_AOZ_GESAMT">#REF!</definedName>
    <definedName name="Monatsstunden_AOZ_Werktag" localSheetId="1">#REF!</definedName>
    <definedName name="Monatsstunden_AOZ_Werktag">#REF!</definedName>
    <definedName name="Monatsstunden_SHK_GESAMT" localSheetId="1">#REF!</definedName>
    <definedName name="Monatsstunden_SHK_GESAMT">#REF!</definedName>
    <definedName name="Monatsstunden_SHK_Sonntag" localSheetId="1">#REF!</definedName>
    <definedName name="Monatsstunden_SHK_Sonntag">#REF!</definedName>
    <definedName name="Monatsstunden_SHK_Werktag" localSheetId="1">#REF!</definedName>
    <definedName name="Monatsstunden_SHK_Werktag">#REF!</definedName>
    <definedName name="Monatsstunden_Sonntag">IZDM!$X$5:$X$404</definedName>
    <definedName name="Monatsstunden_VEH_GESAMT">IZDM!$AA$5:$AA$404</definedName>
    <definedName name="Monatsstunden_VEH_Werktag">IZDM!$R$5:$R$404</definedName>
    <definedName name="Monatsstunden_WH_GESAMT" localSheetId="1">#REF!</definedName>
    <definedName name="Monatsstunden_WH_GESAMT">#REF!</definedName>
    <definedName name="Monatsstunden_WH_Werktag" localSheetId="1">#REF!</definedName>
    <definedName name="Monatsstunden_WH_Werktag">#REF!</definedName>
    <definedName name="RA">IZDM!$K$406:$K$407</definedName>
    <definedName name="Raumbuch_AOZ" localSheetId="1">#REF!</definedName>
    <definedName name="Raumbuch_AOZ">#REF!</definedName>
    <definedName name="Raumbuch_SHK" localSheetId="1">#REF!</definedName>
    <definedName name="Raumbuch_SHK">#REF!</definedName>
    <definedName name="Raumbuch_VEH">IZDM!$E$5:$AB$404</definedName>
    <definedName name="Raumbuch_WH" localSheetId="1">#REF!</definedName>
    <definedName name="Raumbuch_WH">#REF!</definedName>
    <definedName name="ReinigungsA">#REF!</definedName>
    <definedName name="Vergabefläche_AOZ" localSheetId="1">#REF!</definedName>
    <definedName name="Vergabefläche_AOZ">#REF!</definedName>
    <definedName name="Vergabefläche_SHK" localSheetId="1">#REF!</definedName>
    <definedName name="Vergabefläche_SHK">#REF!</definedName>
    <definedName name="Vergabefläche_VEH">IZDM!$L$5:$L$404</definedName>
    <definedName name="Vergabefläche_WH" localSheetId="1">#REF!</definedName>
    <definedName name="Vergabefläche_WH">#REF!</definedName>
    <definedName name="Wohnfläche_AOZ_GESAMT" localSheetId="1">#REF!</definedName>
    <definedName name="Wohnfläche_AOZ_GESAMT">#REF!</definedName>
  </definedNames>
  <calcPr calcId="191029"/>
</workbook>
</file>

<file path=xl/calcChain.xml><?xml version="1.0" encoding="utf-8"?>
<calcChain xmlns="http://schemas.openxmlformats.org/spreadsheetml/2006/main">
  <c r="D8" i="41" l="1"/>
  <c r="G8" i="41"/>
  <c r="H24" i="26" l="1"/>
  <c r="G14" i="26" l="1"/>
  <c r="H14" i="26"/>
  <c r="H23" i="26"/>
  <c r="C24" i="41" l="1"/>
  <c r="T234" i="30"/>
  <c r="L234" i="30"/>
  <c r="T233" i="30"/>
  <c r="U233" i="30" s="1"/>
  <c r="L233" i="30"/>
  <c r="T232" i="30"/>
  <c r="Y232" i="30" s="1"/>
  <c r="L232" i="30"/>
  <c r="T231" i="30"/>
  <c r="Y231" i="30" s="1"/>
  <c r="L231" i="30"/>
  <c r="T230" i="30"/>
  <c r="Y230" i="30" s="1"/>
  <c r="L230" i="30"/>
  <c r="T229" i="30"/>
  <c r="Y229" i="30" s="1"/>
  <c r="L229" i="30"/>
  <c r="T228" i="30"/>
  <c r="Y228" i="30" s="1"/>
  <c r="L228" i="30"/>
  <c r="T227" i="30"/>
  <c r="L227" i="30"/>
  <c r="T226" i="30"/>
  <c r="Y226" i="30" s="1"/>
  <c r="N226" i="30"/>
  <c r="L226" i="30"/>
  <c r="T225" i="30"/>
  <c r="Y225" i="30" s="1"/>
  <c r="N225" i="30"/>
  <c r="L225" i="30"/>
  <c r="T224" i="30"/>
  <c r="Y224" i="30" s="1"/>
  <c r="N224" i="30"/>
  <c r="L224" i="30"/>
  <c r="T223" i="30"/>
  <c r="Y223" i="30" s="1"/>
  <c r="N223" i="30"/>
  <c r="Q223" i="30" s="1"/>
  <c r="L223" i="30"/>
  <c r="T222" i="30"/>
  <c r="Y222" i="30" s="1"/>
  <c r="N222" i="30"/>
  <c r="L222" i="30"/>
  <c r="T221" i="30"/>
  <c r="Y221" i="30" s="1"/>
  <c r="N221" i="30"/>
  <c r="L221" i="30"/>
  <c r="T220" i="30"/>
  <c r="Y220" i="30" s="1"/>
  <c r="N220" i="30"/>
  <c r="L220" i="30"/>
  <c r="T219" i="30"/>
  <c r="N219" i="30"/>
  <c r="Q219" i="30" s="1"/>
  <c r="L219" i="30"/>
  <c r="T218" i="30"/>
  <c r="Y218" i="30" s="1"/>
  <c r="N218" i="30"/>
  <c r="L218" i="30"/>
  <c r="T217" i="30"/>
  <c r="U217" i="30" s="1"/>
  <c r="N217" i="30"/>
  <c r="Q217" i="30" s="1"/>
  <c r="L217" i="30"/>
  <c r="T216" i="30"/>
  <c r="N216" i="30"/>
  <c r="Q216" i="30" s="1"/>
  <c r="L216" i="30"/>
  <c r="T215" i="30"/>
  <c r="N215" i="30"/>
  <c r="Q215" i="30" s="1"/>
  <c r="L215" i="30"/>
  <c r="T214" i="30"/>
  <c r="N214" i="30"/>
  <c r="Q214" i="30" s="1"/>
  <c r="L214" i="30"/>
  <c r="T213" i="30"/>
  <c r="U213" i="30" s="1"/>
  <c r="N213" i="30"/>
  <c r="Q213" i="30" s="1"/>
  <c r="L213" i="30"/>
  <c r="T212" i="30"/>
  <c r="Y212" i="30" s="1"/>
  <c r="N212" i="30"/>
  <c r="Q212" i="30" s="1"/>
  <c r="L212" i="30"/>
  <c r="T211" i="30"/>
  <c r="U211" i="30" s="1"/>
  <c r="N211" i="30"/>
  <c r="L211" i="30"/>
  <c r="T210" i="30"/>
  <c r="W210" i="30" s="1"/>
  <c r="N210" i="30"/>
  <c r="Q210" i="30" s="1"/>
  <c r="L210" i="30"/>
  <c r="T209" i="30"/>
  <c r="N209" i="30"/>
  <c r="Q209" i="30" s="1"/>
  <c r="L209" i="30"/>
  <c r="T208" i="30"/>
  <c r="Y208" i="30" s="1"/>
  <c r="L208" i="30"/>
  <c r="T207" i="30"/>
  <c r="Y207" i="30" s="1"/>
  <c r="L207" i="30"/>
  <c r="T206" i="30"/>
  <c r="L206" i="30"/>
  <c r="T205" i="30"/>
  <c r="L205" i="30"/>
  <c r="T204" i="30"/>
  <c r="U204" i="30" s="1"/>
  <c r="S204" i="30"/>
  <c r="N204" i="30"/>
  <c r="Q204" i="30" s="1"/>
  <c r="L204" i="30"/>
  <c r="T203" i="30"/>
  <c r="U203" i="30" s="1"/>
  <c r="N203" i="30"/>
  <c r="L203" i="30"/>
  <c r="T202" i="30"/>
  <c r="W202" i="30" s="1"/>
  <c r="L202" i="30"/>
  <c r="T201" i="30"/>
  <c r="L201" i="30"/>
  <c r="T200" i="30"/>
  <c r="L200" i="30"/>
  <c r="T199" i="30"/>
  <c r="Y199" i="30" s="1"/>
  <c r="L199" i="30"/>
  <c r="T198" i="30"/>
  <c r="Y198" i="30" s="1"/>
  <c r="L198" i="30"/>
  <c r="T197" i="30"/>
  <c r="X197" i="30" s="1"/>
  <c r="L197" i="30"/>
  <c r="T196" i="30"/>
  <c r="L196" i="30"/>
  <c r="T195" i="30"/>
  <c r="X195" i="30" s="1"/>
  <c r="L195" i="30"/>
  <c r="T194" i="30"/>
  <c r="Y194" i="30" s="1"/>
  <c r="L194" i="30"/>
  <c r="T193" i="30"/>
  <c r="L193" i="30"/>
  <c r="T192" i="30"/>
  <c r="L192" i="30"/>
  <c r="T191" i="30"/>
  <c r="Y191" i="30" s="1"/>
  <c r="L191" i="30"/>
  <c r="T190" i="30"/>
  <c r="Y190" i="30" s="1"/>
  <c r="L190" i="30"/>
  <c r="T189" i="30"/>
  <c r="X189" i="30" s="1"/>
  <c r="L189" i="30"/>
  <c r="T188" i="30"/>
  <c r="Y188" i="30" s="1"/>
  <c r="L188" i="30"/>
  <c r="T187" i="30"/>
  <c r="L187" i="30"/>
  <c r="T186" i="30"/>
  <c r="Y186" i="30" s="1"/>
  <c r="L186" i="30"/>
  <c r="T185" i="30"/>
  <c r="L185" i="30"/>
  <c r="T184" i="30"/>
  <c r="L184" i="30"/>
  <c r="T183" i="30"/>
  <c r="L183" i="30"/>
  <c r="T182" i="30"/>
  <c r="L182" i="30"/>
  <c r="T181" i="30"/>
  <c r="W181" i="30" s="1"/>
  <c r="S181" i="30"/>
  <c r="N181" i="30"/>
  <c r="L181" i="30"/>
  <c r="T180" i="30"/>
  <c r="S180" i="30"/>
  <c r="N180" i="30"/>
  <c r="Q180" i="30" s="1"/>
  <c r="L180" i="30"/>
  <c r="T179" i="30"/>
  <c r="Y179" i="30" s="1"/>
  <c r="L179" i="30"/>
  <c r="T178" i="30"/>
  <c r="X178" i="30" s="1"/>
  <c r="L178" i="30"/>
  <c r="T177" i="30"/>
  <c r="U177" i="30" s="1"/>
  <c r="L177" i="30"/>
  <c r="T176" i="30"/>
  <c r="X176" i="30" s="1"/>
  <c r="L176" i="30"/>
  <c r="T175" i="30"/>
  <c r="L175" i="30"/>
  <c r="T174" i="30"/>
  <c r="Y174" i="30" s="1"/>
  <c r="S174" i="30"/>
  <c r="N174" i="30"/>
  <c r="L174" i="30"/>
  <c r="T173" i="30"/>
  <c r="L173" i="30"/>
  <c r="T172" i="30"/>
  <c r="N172" i="30"/>
  <c r="Q172" i="30" s="1"/>
  <c r="L172" i="30"/>
  <c r="T171" i="30"/>
  <c r="L171" i="30"/>
  <c r="T170" i="30"/>
  <c r="Y170" i="30" s="1"/>
  <c r="L170" i="30"/>
  <c r="T169" i="30"/>
  <c r="Y169" i="30" s="1"/>
  <c r="L169" i="30"/>
  <c r="T168" i="30"/>
  <c r="Y168" i="30" s="1"/>
  <c r="L168" i="30"/>
  <c r="T167" i="30"/>
  <c r="L167" i="30"/>
  <c r="T166" i="30"/>
  <c r="L166" i="30"/>
  <c r="T165" i="30"/>
  <c r="L165" i="30"/>
  <c r="T164" i="30"/>
  <c r="Y164" i="30" s="1"/>
  <c r="L164" i="30"/>
  <c r="T163" i="30"/>
  <c r="L163" i="30"/>
  <c r="T162" i="30"/>
  <c r="Y162" i="30" s="1"/>
  <c r="L162" i="30"/>
  <c r="T161" i="30"/>
  <c r="L161" i="30"/>
  <c r="T160" i="30"/>
  <c r="Y160" i="30" s="1"/>
  <c r="L160" i="30"/>
  <c r="T159" i="30"/>
  <c r="Y159" i="30" s="1"/>
  <c r="L159" i="30"/>
  <c r="L158" i="30"/>
  <c r="L157" i="30"/>
  <c r="L156" i="30"/>
  <c r="T155" i="30"/>
  <c r="L155" i="30"/>
  <c r="T154" i="30"/>
  <c r="Y154" i="30" s="1"/>
  <c r="L154" i="30"/>
  <c r="T153" i="30"/>
  <c r="L153" i="30"/>
  <c r="T152" i="30"/>
  <c r="L152" i="30"/>
  <c r="T151" i="30"/>
  <c r="Y151" i="30" s="1"/>
  <c r="L151" i="30"/>
  <c r="T150" i="30"/>
  <c r="Y150" i="30" s="1"/>
  <c r="L150" i="30"/>
  <c r="T149" i="30"/>
  <c r="L149" i="30"/>
  <c r="T148" i="30"/>
  <c r="L148" i="30"/>
  <c r="T147" i="30"/>
  <c r="L147" i="30"/>
  <c r="T146" i="30"/>
  <c r="W146" i="30" s="1"/>
  <c r="L146" i="30"/>
  <c r="T145" i="30"/>
  <c r="N145" i="30"/>
  <c r="L145" i="30"/>
  <c r="T144" i="30"/>
  <c r="Y144" i="30" s="1"/>
  <c r="N144" i="30"/>
  <c r="Q144" i="30" s="1"/>
  <c r="L144" i="30"/>
  <c r="L143" i="30"/>
  <c r="L142" i="30"/>
  <c r="L141" i="30"/>
  <c r="L140" i="30"/>
  <c r="T139" i="30"/>
  <c r="W139" i="30" s="1"/>
  <c r="L139" i="30"/>
  <c r="T138" i="30"/>
  <c r="W138" i="30" s="1"/>
  <c r="L138" i="30"/>
  <c r="T137" i="30"/>
  <c r="L137" i="30"/>
  <c r="T136" i="30"/>
  <c r="N136" i="30"/>
  <c r="L136" i="30"/>
  <c r="T135" i="30"/>
  <c r="L135" i="30"/>
  <c r="T134" i="30"/>
  <c r="W134" i="30" s="1"/>
  <c r="L134" i="30"/>
  <c r="T133" i="30"/>
  <c r="L133" i="30"/>
  <c r="T132" i="30"/>
  <c r="W132" i="30" s="1"/>
  <c r="L132" i="30"/>
  <c r="T131" i="30"/>
  <c r="W131" i="30" s="1"/>
  <c r="L131" i="30"/>
  <c r="T130" i="30"/>
  <c r="Y130" i="30" s="1"/>
  <c r="L130" i="30"/>
  <c r="T129" i="30"/>
  <c r="L129" i="30"/>
  <c r="T128" i="30"/>
  <c r="L128" i="30"/>
  <c r="T127" i="30"/>
  <c r="L127" i="30"/>
  <c r="T126" i="30"/>
  <c r="Y126" i="30" s="1"/>
  <c r="L126" i="30"/>
  <c r="T125" i="30"/>
  <c r="L125" i="30"/>
  <c r="T124" i="30"/>
  <c r="Y124" i="30" s="1"/>
  <c r="L124" i="30"/>
  <c r="T123" i="30"/>
  <c r="W123" i="30" s="1"/>
  <c r="L123" i="30"/>
  <c r="T122" i="30"/>
  <c r="L122" i="30"/>
  <c r="T121" i="30"/>
  <c r="L121" i="30"/>
  <c r="T120" i="30"/>
  <c r="L120" i="30"/>
  <c r="T119" i="30"/>
  <c r="L119" i="30"/>
  <c r="T118" i="30"/>
  <c r="W118" i="30" s="1"/>
  <c r="L118" i="30"/>
  <c r="T117" i="30"/>
  <c r="L117" i="30"/>
  <c r="T116" i="30"/>
  <c r="W116" i="30" s="1"/>
  <c r="L116" i="30"/>
  <c r="T115" i="30"/>
  <c r="W115" i="30" s="1"/>
  <c r="L115" i="30"/>
  <c r="T114" i="30"/>
  <c r="Y114" i="30" s="1"/>
  <c r="L114" i="30"/>
  <c r="T113" i="30"/>
  <c r="L113" i="30"/>
  <c r="T112" i="30"/>
  <c r="L112" i="30"/>
  <c r="T111" i="30"/>
  <c r="L111" i="30"/>
  <c r="T110" i="30"/>
  <c r="Y110" i="30" s="1"/>
  <c r="L110" i="30"/>
  <c r="T109" i="30"/>
  <c r="L109" i="30"/>
  <c r="T108" i="30"/>
  <c r="Y108" i="30" s="1"/>
  <c r="L108" i="30"/>
  <c r="T107" i="30"/>
  <c r="W107" i="30" s="1"/>
  <c r="N107" i="30"/>
  <c r="L107" i="30"/>
  <c r="T106" i="30"/>
  <c r="L106" i="30"/>
  <c r="T105" i="30"/>
  <c r="L105" i="30"/>
  <c r="T104" i="30"/>
  <c r="L104" i="30"/>
  <c r="T103" i="30"/>
  <c r="L103" i="30"/>
  <c r="T102" i="30"/>
  <c r="W102" i="30" s="1"/>
  <c r="N102" i="30"/>
  <c r="L102" i="30"/>
  <c r="T101" i="30"/>
  <c r="L101" i="30"/>
  <c r="T100" i="30"/>
  <c r="W100" i="30" s="1"/>
  <c r="L100" i="30"/>
  <c r="T99" i="30"/>
  <c r="W99" i="30" s="1"/>
  <c r="L99" i="30"/>
  <c r="T98" i="30"/>
  <c r="Y98" i="30" s="1"/>
  <c r="L98" i="30"/>
  <c r="T97" i="30"/>
  <c r="L97" i="30"/>
  <c r="T96" i="30"/>
  <c r="L96" i="30"/>
  <c r="T95" i="30"/>
  <c r="L95" i="30"/>
  <c r="T94" i="30"/>
  <c r="Y94" i="30" s="1"/>
  <c r="L94" i="30"/>
  <c r="T93" i="30"/>
  <c r="L93" i="30"/>
  <c r="T92" i="30"/>
  <c r="Y92" i="30" s="1"/>
  <c r="L92" i="30"/>
  <c r="T91" i="30"/>
  <c r="W91" i="30" s="1"/>
  <c r="L91" i="30"/>
  <c r="T90" i="30"/>
  <c r="X90" i="30" s="1"/>
  <c r="L90" i="30"/>
  <c r="T89" i="30"/>
  <c r="L89" i="30"/>
  <c r="T88" i="30"/>
  <c r="L88" i="30"/>
  <c r="T87" i="30"/>
  <c r="Y87" i="30" s="1"/>
  <c r="L87" i="30"/>
  <c r="T86" i="30"/>
  <c r="Y86" i="30" s="1"/>
  <c r="L86" i="30"/>
  <c r="T85" i="30"/>
  <c r="U85" i="30" s="1"/>
  <c r="L85" i="30"/>
  <c r="T84" i="30"/>
  <c r="Y84" i="30" s="1"/>
  <c r="L84" i="30"/>
  <c r="T83" i="30"/>
  <c r="L83" i="30"/>
  <c r="T82" i="30"/>
  <c r="Y82" i="30" s="1"/>
  <c r="L82" i="30"/>
  <c r="T81" i="30"/>
  <c r="L81" i="30"/>
  <c r="T80" i="30"/>
  <c r="Y80" i="30" s="1"/>
  <c r="L80" i="30"/>
  <c r="T79" i="30"/>
  <c r="U79" i="30" s="1"/>
  <c r="L79" i="30"/>
  <c r="T78" i="30"/>
  <c r="Y78" i="30" s="1"/>
  <c r="L78" i="30"/>
  <c r="T77" i="30"/>
  <c r="U77" i="30" s="1"/>
  <c r="L77" i="30"/>
  <c r="T76" i="30"/>
  <c r="Y76" i="30" s="1"/>
  <c r="L76" i="30"/>
  <c r="T75" i="30"/>
  <c r="U75" i="30" s="1"/>
  <c r="L75" i="30"/>
  <c r="T74" i="30"/>
  <c r="Y74" i="30" s="1"/>
  <c r="L74" i="30"/>
  <c r="T73" i="30"/>
  <c r="U73" i="30" s="1"/>
  <c r="L73" i="30"/>
  <c r="T72" i="30"/>
  <c r="Y72" i="30" s="1"/>
  <c r="N72" i="30"/>
  <c r="L72" i="30"/>
  <c r="O102" i="30" l="1"/>
  <c r="O211" i="30"/>
  <c r="Z211" i="30" s="1"/>
  <c r="O221" i="30"/>
  <c r="U162" i="30"/>
  <c r="Y210" i="30"/>
  <c r="O213" i="30"/>
  <c r="Z213" i="30" s="1"/>
  <c r="R219" i="30"/>
  <c r="S219" i="30" s="1"/>
  <c r="O203" i="30"/>
  <c r="Z203" i="30" s="1"/>
  <c r="O180" i="30"/>
  <c r="U194" i="30"/>
  <c r="O209" i="30"/>
  <c r="W211" i="30"/>
  <c r="O215" i="30"/>
  <c r="U225" i="30"/>
  <c r="W176" i="30"/>
  <c r="U229" i="30"/>
  <c r="W204" i="30"/>
  <c r="W90" i="30"/>
  <c r="X124" i="30"/>
  <c r="X177" i="30"/>
  <c r="U178" i="30"/>
  <c r="R180" i="30"/>
  <c r="U186" i="30"/>
  <c r="U190" i="30"/>
  <c r="W207" i="30"/>
  <c r="O217" i="30"/>
  <c r="Z217" i="30" s="1"/>
  <c r="O223" i="30"/>
  <c r="U94" i="30"/>
  <c r="U130" i="30"/>
  <c r="W168" i="30"/>
  <c r="U188" i="30"/>
  <c r="X199" i="30"/>
  <c r="R217" i="30"/>
  <c r="S217" i="30" s="1"/>
  <c r="U221" i="30"/>
  <c r="U92" i="30"/>
  <c r="U110" i="30"/>
  <c r="X130" i="30"/>
  <c r="U198" i="30"/>
  <c r="O204" i="30"/>
  <c r="Z204" i="30" s="1"/>
  <c r="Q211" i="30"/>
  <c r="R211" i="30" s="1"/>
  <c r="S211" i="30" s="1"/>
  <c r="R213" i="30"/>
  <c r="S213" i="30" s="1"/>
  <c r="Y197" i="30"/>
  <c r="W208" i="30"/>
  <c r="R209" i="30"/>
  <c r="S209" i="30" s="1"/>
  <c r="R215" i="30"/>
  <c r="S215" i="30" s="1"/>
  <c r="O219" i="30"/>
  <c r="O222" i="30"/>
  <c r="W223" i="30"/>
  <c r="W233" i="30"/>
  <c r="X92" i="30"/>
  <c r="U126" i="30"/>
  <c r="O136" i="30"/>
  <c r="X151" i="30"/>
  <c r="X159" i="30"/>
  <c r="W174" i="30"/>
  <c r="Q203" i="30"/>
  <c r="R203" i="30" s="1"/>
  <c r="S203" i="30" s="1"/>
  <c r="R210" i="30"/>
  <c r="S210" i="30" s="1"/>
  <c r="R212" i="30"/>
  <c r="S212" i="30" s="1"/>
  <c r="AB212" i="30" s="1"/>
  <c r="O214" i="30"/>
  <c r="O216" i="30"/>
  <c r="O218" i="30"/>
  <c r="Q221" i="30"/>
  <c r="R221" i="30" s="1"/>
  <c r="S221" i="30" s="1"/>
  <c r="AB221" i="30" s="1"/>
  <c r="R223" i="30"/>
  <c r="S223" i="30" s="1"/>
  <c r="AB223" i="30" s="1"/>
  <c r="O226" i="30"/>
  <c r="W229" i="30"/>
  <c r="W231" i="30"/>
  <c r="R214" i="30"/>
  <c r="S214" i="30" s="1"/>
  <c r="U114" i="30"/>
  <c r="U124" i="30"/>
  <c r="R172" i="30"/>
  <c r="S172" i="30" s="1"/>
  <c r="W85" i="30"/>
  <c r="U98" i="30"/>
  <c r="Q102" i="30"/>
  <c r="R102" i="30" s="1"/>
  <c r="S102" i="30" s="1"/>
  <c r="U108" i="30"/>
  <c r="X114" i="30"/>
  <c r="R144" i="30"/>
  <c r="S144" i="30" s="1"/>
  <c r="AB144" i="30" s="1"/>
  <c r="U170" i="30"/>
  <c r="X85" i="30"/>
  <c r="X98" i="30"/>
  <c r="X108" i="30"/>
  <c r="U160" i="30"/>
  <c r="W164" i="30"/>
  <c r="Y106" i="30"/>
  <c r="U106" i="30"/>
  <c r="X106" i="30"/>
  <c r="Y149" i="30"/>
  <c r="X149" i="30"/>
  <c r="R174" i="30"/>
  <c r="Q174" i="30"/>
  <c r="O174" i="30"/>
  <c r="Y122" i="30"/>
  <c r="X122" i="30"/>
  <c r="U122" i="30"/>
  <c r="Y227" i="30"/>
  <c r="W227" i="30"/>
  <c r="U227" i="30"/>
  <c r="X73" i="30"/>
  <c r="X75" i="30"/>
  <c r="U83" i="30"/>
  <c r="X83" i="30"/>
  <c r="Y90" i="30"/>
  <c r="U90" i="30"/>
  <c r="Y116" i="30"/>
  <c r="U116" i="30"/>
  <c r="X116" i="30"/>
  <c r="W122" i="30"/>
  <c r="Y138" i="30"/>
  <c r="U138" i="30"/>
  <c r="X138" i="30"/>
  <c r="Y152" i="30"/>
  <c r="W152" i="30"/>
  <c r="U152" i="30"/>
  <c r="Y166" i="30"/>
  <c r="W166" i="30"/>
  <c r="U166" i="30"/>
  <c r="U215" i="30"/>
  <c r="W215" i="30"/>
  <c r="Y118" i="30"/>
  <c r="U118" i="30"/>
  <c r="Y183" i="30"/>
  <c r="X183" i="30"/>
  <c r="Y205" i="30"/>
  <c r="W205" i="30"/>
  <c r="W73" i="30"/>
  <c r="Y100" i="30"/>
  <c r="X100" i="30"/>
  <c r="U100" i="30"/>
  <c r="W106" i="30"/>
  <c r="Y134" i="30"/>
  <c r="U134" i="30"/>
  <c r="Y200" i="30"/>
  <c r="W200" i="30"/>
  <c r="U200" i="30"/>
  <c r="Y219" i="30"/>
  <c r="W219" i="30"/>
  <c r="U219" i="30"/>
  <c r="Y102" i="30"/>
  <c r="U102" i="30"/>
  <c r="Y132" i="30"/>
  <c r="X132" i="30"/>
  <c r="U132" i="30"/>
  <c r="O220" i="30"/>
  <c r="Q225" i="30"/>
  <c r="R225" i="30" s="1"/>
  <c r="S225" i="30" s="1"/>
  <c r="AB225" i="30" s="1"/>
  <c r="O225" i="30"/>
  <c r="W92" i="30"/>
  <c r="W94" i="30"/>
  <c r="W114" i="30"/>
  <c r="W124" i="30"/>
  <c r="W126" i="30"/>
  <c r="Y177" i="30"/>
  <c r="W194" i="30"/>
  <c r="W198" i="30"/>
  <c r="R204" i="30"/>
  <c r="X204" i="30"/>
  <c r="R216" i="30"/>
  <c r="S216" i="30" s="1"/>
  <c r="W221" i="30"/>
  <c r="O144" i="30"/>
  <c r="U150" i="30"/>
  <c r="W98" i="30"/>
  <c r="W108" i="30"/>
  <c r="W110" i="30"/>
  <c r="W130" i="30"/>
  <c r="U146" i="30"/>
  <c r="W150" i="30"/>
  <c r="W162" i="30"/>
  <c r="U164" i="30"/>
  <c r="U168" i="30"/>
  <c r="O172" i="30"/>
  <c r="U176" i="30"/>
  <c r="W177" i="30"/>
  <c r="W186" i="30"/>
  <c r="Y189" i="30"/>
  <c r="X191" i="30"/>
  <c r="O210" i="30"/>
  <c r="O212" i="30"/>
  <c r="W213" i="30"/>
  <c r="W217" i="30"/>
  <c r="U223" i="30"/>
  <c r="O224" i="30"/>
  <c r="W225" i="30"/>
  <c r="U231" i="30"/>
  <c r="Y96" i="30"/>
  <c r="X96" i="30"/>
  <c r="W96" i="30"/>
  <c r="U96" i="30"/>
  <c r="Y128" i="30"/>
  <c r="X128" i="30"/>
  <c r="W128" i="30"/>
  <c r="U128" i="30"/>
  <c r="Y192" i="30"/>
  <c r="W192" i="30"/>
  <c r="U192" i="30"/>
  <c r="W103" i="30"/>
  <c r="Y103" i="30"/>
  <c r="X103" i="30"/>
  <c r="U103" i="30"/>
  <c r="W105" i="30"/>
  <c r="Y105" i="30"/>
  <c r="X105" i="30"/>
  <c r="Y136" i="30"/>
  <c r="X136" i="30"/>
  <c r="W136" i="30"/>
  <c r="U136" i="30"/>
  <c r="W77" i="30"/>
  <c r="X79" i="30"/>
  <c r="U81" i="30"/>
  <c r="X81" i="30"/>
  <c r="W111" i="30"/>
  <c r="Y111" i="30"/>
  <c r="X111" i="30"/>
  <c r="U111" i="30"/>
  <c r="Y112" i="30"/>
  <c r="X112" i="30"/>
  <c r="W112" i="30"/>
  <c r="U112" i="30"/>
  <c r="W113" i="30"/>
  <c r="Y113" i="30"/>
  <c r="X113" i="30"/>
  <c r="Y167" i="30"/>
  <c r="X167" i="30"/>
  <c r="Y172" i="30"/>
  <c r="W172" i="30"/>
  <c r="U172" i="30"/>
  <c r="Y175" i="30"/>
  <c r="X175" i="30"/>
  <c r="Y184" i="30"/>
  <c r="W184" i="30"/>
  <c r="U184" i="30"/>
  <c r="Y196" i="30"/>
  <c r="W196" i="30"/>
  <c r="U196" i="30"/>
  <c r="W95" i="30"/>
  <c r="Y95" i="30"/>
  <c r="X95" i="30"/>
  <c r="U95" i="30"/>
  <c r="W97" i="30"/>
  <c r="Y97" i="30"/>
  <c r="X97" i="30"/>
  <c r="W127" i="30"/>
  <c r="Y127" i="30"/>
  <c r="X127" i="30"/>
  <c r="U127" i="30"/>
  <c r="W129" i="30"/>
  <c r="Y129" i="30"/>
  <c r="X129" i="30"/>
  <c r="O72" i="30"/>
  <c r="W79" i="30"/>
  <c r="Y104" i="30"/>
  <c r="X104" i="30"/>
  <c r="W104" i="30"/>
  <c r="U104" i="30"/>
  <c r="W135" i="30"/>
  <c r="Y135" i="30"/>
  <c r="X135" i="30"/>
  <c r="U135" i="30"/>
  <c r="W137" i="30"/>
  <c r="Y137" i="30"/>
  <c r="X137" i="30"/>
  <c r="Q72" i="30"/>
  <c r="R72" i="30" s="1"/>
  <c r="S72" i="30" s="1"/>
  <c r="AB72" i="30" s="1"/>
  <c r="W75" i="30"/>
  <c r="X77" i="30"/>
  <c r="W81" i="30"/>
  <c r="W83" i="30"/>
  <c r="U87" i="30"/>
  <c r="X87" i="30"/>
  <c r="W87" i="30"/>
  <c r="W89" i="30"/>
  <c r="Y89" i="30"/>
  <c r="X89" i="30"/>
  <c r="W119" i="30"/>
  <c r="Y119" i="30"/>
  <c r="X119" i="30"/>
  <c r="U119" i="30"/>
  <c r="Y120" i="30"/>
  <c r="X120" i="30"/>
  <c r="W120" i="30"/>
  <c r="U120" i="30"/>
  <c r="W121" i="30"/>
  <c r="Y121" i="30"/>
  <c r="X121" i="30"/>
  <c r="Y148" i="30"/>
  <c r="W148" i="30"/>
  <c r="U148" i="30"/>
  <c r="Y165" i="30"/>
  <c r="X165" i="30"/>
  <c r="W160" i="30"/>
  <c r="W170" i="30"/>
  <c r="W178" i="30"/>
  <c r="W188" i="30"/>
  <c r="W190" i="30"/>
  <c r="Y91" i="30"/>
  <c r="X94" i="30"/>
  <c r="Y99" i="30"/>
  <c r="X102" i="30"/>
  <c r="Y107" i="30"/>
  <c r="X110" i="30"/>
  <c r="Y115" i="30"/>
  <c r="X118" i="30"/>
  <c r="Y123" i="30"/>
  <c r="X126" i="30"/>
  <c r="Y131" i="30"/>
  <c r="X134" i="30"/>
  <c r="Y139" i="30"/>
  <c r="U154" i="30"/>
  <c r="Y178" i="30"/>
  <c r="W154" i="30"/>
  <c r="U174" i="30"/>
  <c r="AB174" i="30"/>
  <c r="W93" i="30"/>
  <c r="Y93" i="30"/>
  <c r="X93" i="30"/>
  <c r="U93" i="30"/>
  <c r="X88" i="30"/>
  <c r="W88" i="30"/>
  <c r="U88" i="30"/>
  <c r="Y88" i="30"/>
  <c r="W101" i="30"/>
  <c r="Y101" i="30"/>
  <c r="X101" i="30"/>
  <c r="U101" i="30"/>
  <c r="W117" i="30"/>
  <c r="Y117" i="30"/>
  <c r="U117" i="30"/>
  <c r="X117" i="30"/>
  <c r="W133" i="30"/>
  <c r="Y133" i="30"/>
  <c r="X133" i="30"/>
  <c r="U133" i="30"/>
  <c r="Q145" i="30"/>
  <c r="R145" i="30" s="1"/>
  <c r="S145" i="30" s="1"/>
  <c r="O145" i="30"/>
  <c r="W153" i="30"/>
  <c r="U153" i="30"/>
  <c r="X153" i="30"/>
  <c r="Y153" i="30"/>
  <c r="W109" i="30"/>
  <c r="Y109" i="30"/>
  <c r="U109" i="30"/>
  <c r="X109" i="30"/>
  <c r="W125" i="30"/>
  <c r="Y125" i="30"/>
  <c r="X125" i="30"/>
  <c r="U125" i="30"/>
  <c r="U145" i="30"/>
  <c r="Y145" i="30"/>
  <c r="X145" i="30"/>
  <c r="W145" i="30"/>
  <c r="W155" i="30"/>
  <c r="U155" i="30"/>
  <c r="Y155" i="30"/>
  <c r="X155" i="30"/>
  <c r="X72" i="30"/>
  <c r="W72" i="30"/>
  <c r="U72" i="30"/>
  <c r="X74" i="30"/>
  <c r="W74" i="30"/>
  <c r="U74" i="30"/>
  <c r="X76" i="30"/>
  <c r="W76" i="30"/>
  <c r="U76" i="30"/>
  <c r="X78" i="30"/>
  <c r="W78" i="30"/>
  <c r="U78" i="30"/>
  <c r="X80" i="30"/>
  <c r="W80" i="30"/>
  <c r="U80" i="30"/>
  <c r="X82" i="30"/>
  <c r="U82" i="30"/>
  <c r="W82" i="30"/>
  <c r="X84" i="30"/>
  <c r="U84" i="30"/>
  <c r="W84" i="30"/>
  <c r="X86" i="30"/>
  <c r="W86" i="30"/>
  <c r="U86" i="30"/>
  <c r="W171" i="30"/>
  <c r="U171" i="30"/>
  <c r="Y171" i="30"/>
  <c r="X180" i="30"/>
  <c r="W180" i="30"/>
  <c r="U180" i="30"/>
  <c r="Q181" i="30"/>
  <c r="R181" i="30"/>
  <c r="W187" i="30"/>
  <c r="U187" i="30"/>
  <c r="Y187" i="30"/>
  <c r="W173" i="30"/>
  <c r="U173" i="30"/>
  <c r="O181" i="30"/>
  <c r="X182" i="30"/>
  <c r="Y182" i="30"/>
  <c r="W182" i="30"/>
  <c r="Y73" i="30"/>
  <c r="Y81" i="30"/>
  <c r="Y83" i="30"/>
  <c r="Y85" i="30"/>
  <c r="U99" i="30"/>
  <c r="U115" i="30"/>
  <c r="U123" i="30"/>
  <c r="U131" i="30"/>
  <c r="U139" i="30"/>
  <c r="X144" i="30"/>
  <c r="W144" i="30"/>
  <c r="W147" i="30"/>
  <c r="U147" i="30"/>
  <c r="Y147" i="30"/>
  <c r="W161" i="30"/>
  <c r="U161" i="30"/>
  <c r="X161" i="30"/>
  <c r="W163" i="30"/>
  <c r="U163" i="30"/>
  <c r="Y163" i="30"/>
  <c r="X173" i="30"/>
  <c r="U182" i="30"/>
  <c r="W169" i="30"/>
  <c r="U169" i="30"/>
  <c r="X169" i="30"/>
  <c r="X171" i="30"/>
  <c r="Y180" i="30"/>
  <c r="AB180" i="30" s="1"/>
  <c r="X187" i="30"/>
  <c r="Y75" i="30"/>
  <c r="Y77" i="30"/>
  <c r="Y79" i="30"/>
  <c r="U91" i="30"/>
  <c r="O107" i="30"/>
  <c r="U107" i="30"/>
  <c r="U89" i="30"/>
  <c r="X91" i="30"/>
  <c r="U97" i="30"/>
  <c r="X99" i="30"/>
  <c r="U105" i="30"/>
  <c r="Q107" i="30"/>
  <c r="R107" i="30" s="1"/>
  <c r="S107" i="30" s="1"/>
  <c r="X107" i="30"/>
  <c r="U113" i="30"/>
  <c r="X115" i="30"/>
  <c r="U121" i="30"/>
  <c r="X123" i="30"/>
  <c r="U129" i="30"/>
  <c r="X131" i="30"/>
  <c r="Q136" i="30"/>
  <c r="R136" i="30" s="1"/>
  <c r="S136" i="30" s="1"/>
  <c r="U137" i="30"/>
  <c r="X139" i="30"/>
  <c r="U144" i="30"/>
  <c r="Y146" i="30"/>
  <c r="X146" i="30"/>
  <c r="X147" i="30"/>
  <c r="W149" i="30"/>
  <c r="U149" i="30"/>
  <c r="Y161" i="30"/>
  <c r="X163" i="30"/>
  <c r="W165" i="30"/>
  <c r="U165" i="30"/>
  <c r="Y173" i="30"/>
  <c r="W193" i="30"/>
  <c r="U193" i="30"/>
  <c r="Y193" i="30"/>
  <c r="X193" i="30"/>
  <c r="X206" i="30"/>
  <c r="U206" i="30"/>
  <c r="Y206" i="30"/>
  <c r="W206" i="30"/>
  <c r="W151" i="30"/>
  <c r="U151" i="30"/>
  <c r="W159" i="30"/>
  <c r="U159" i="30"/>
  <c r="W167" i="30"/>
  <c r="U167" i="30"/>
  <c r="W175" i="30"/>
  <c r="U175" i="30"/>
  <c r="U179" i="30"/>
  <c r="X179" i="30"/>
  <c r="W179" i="30"/>
  <c r="U181" i="30"/>
  <c r="Y181" i="30"/>
  <c r="AB181" i="30" s="1"/>
  <c r="X181" i="30"/>
  <c r="W185" i="30"/>
  <c r="U185" i="30"/>
  <c r="Y185" i="30"/>
  <c r="X185" i="30"/>
  <c r="W195" i="30"/>
  <c r="U195" i="30"/>
  <c r="Y195" i="30"/>
  <c r="X201" i="30"/>
  <c r="W201" i="30"/>
  <c r="U201" i="30"/>
  <c r="Y201" i="30"/>
  <c r="U202" i="30"/>
  <c r="Y202" i="30"/>
  <c r="X202" i="30"/>
  <c r="X216" i="30"/>
  <c r="W216" i="30"/>
  <c r="U216" i="30"/>
  <c r="Y216" i="30"/>
  <c r="X148" i="30"/>
  <c r="X150" i="30"/>
  <c r="X152" i="30"/>
  <c r="X154" i="30"/>
  <c r="X160" i="30"/>
  <c r="X162" i="30"/>
  <c r="X164" i="30"/>
  <c r="X166" i="30"/>
  <c r="X168" i="30"/>
  <c r="X170" i="30"/>
  <c r="X172" i="30"/>
  <c r="X174" i="30"/>
  <c r="Y176" i="30"/>
  <c r="W183" i="30"/>
  <c r="U183" i="30"/>
  <c r="W191" i="30"/>
  <c r="U191" i="30"/>
  <c r="W199" i="30"/>
  <c r="U199" i="30"/>
  <c r="X203" i="30"/>
  <c r="Y203" i="30"/>
  <c r="W203" i="30"/>
  <c r="X214" i="30"/>
  <c r="W214" i="30"/>
  <c r="U214" i="30"/>
  <c r="W189" i="30"/>
  <c r="U189" i="30"/>
  <c r="W197" i="30"/>
  <c r="U197" i="30"/>
  <c r="U209" i="30"/>
  <c r="X209" i="30"/>
  <c r="Y209" i="30"/>
  <c r="W209" i="30"/>
  <c r="X212" i="30"/>
  <c r="W212" i="30"/>
  <c r="U212" i="30"/>
  <c r="Y214" i="30"/>
  <c r="X184" i="30"/>
  <c r="X186" i="30"/>
  <c r="X188" i="30"/>
  <c r="X190" i="30"/>
  <c r="X192" i="30"/>
  <c r="X194" i="30"/>
  <c r="X196" i="30"/>
  <c r="X198" i="30"/>
  <c r="X200" i="30"/>
  <c r="Y204" i="30"/>
  <c r="AB204" i="30" s="1"/>
  <c r="U207" i="30"/>
  <c r="X207" i="30"/>
  <c r="X210" i="30"/>
  <c r="U210" i="30"/>
  <c r="X234" i="30"/>
  <c r="W234" i="30"/>
  <c r="U234" i="30"/>
  <c r="U205" i="30"/>
  <c r="X205" i="30"/>
  <c r="X208" i="30"/>
  <c r="U208" i="30"/>
  <c r="X218" i="30"/>
  <c r="W218" i="30"/>
  <c r="U218" i="30"/>
  <c r="X220" i="30"/>
  <c r="W220" i="30"/>
  <c r="U220" i="30"/>
  <c r="X222" i="30"/>
  <c r="W222" i="30"/>
  <c r="U222" i="30"/>
  <c r="X224" i="30"/>
  <c r="W224" i="30"/>
  <c r="U224" i="30"/>
  <c r="X226" i="30"/>
  <c r="W226" i="30"/>
  <c r="U226" i="30"/>
  <c r="X228" i="30"/>
  <c r="W228" i="30"/>
  <c r="U228" i="30"/>
  <c r="X230" i="30"/>
  <c r="W230" i="30"/>
  <c r="U230" i="30"/>
  <c r="X232" i="30"/>
  <c r="W232" i="30"/>
  <c r="U232" i="30"/>
  <c r="Y234" i="30"/>
  <c r="X211" i="30"/>
  <c r="X213" i="30"/>
  <c r="X215" i="30"/>
  <c r="X217" i="30"/>
  <c r="Q218" i="30"/>
  <c r="R218" i="30" s="1"/>
  <c r="S218" i="30" s="1"/>
  <c r="AB218" i="30" s="1"/>
  <c r="X219" i="30"/>
  <c r="Q220" i="30"/>
  <c r="R220" i="30" s="1"/>
  <c r="S220" i="30" s="1"/>
  <c r="AB220" i="30" s="1"/>
  <c r="X221" i="30"/>
  <c r="Q222" i="30"/>
  <c r="R222" i="30" s="1"/>
  <c r="S222" i="30" s="1"/>
  <c r="AB222" i="30" s="1"/>
  <c r="X223" i="30"/>
  <c r="Q224" i="30"/>
  <c r="R224" i="30" s="1"/>
  <c r="S224" i="30" s="1"/>
  <c r="AB224" i="30" s="1"/>
  <c r="X225" i="30"/>
  <c r="Q226" i="30"/>
  <c r="R226" i="30" s="1"/>
  <c r="S226" i="30" s="1"/>
  <c r="AB226" i="30" s="1"/>
  <c r="X227" i="30"/>
  <c r="X229" i="30"/>
  <c r="X231" i="30"/>
  <c r="X233" i="30"/>
  <c r="Y211" i="30"/>
  <c r="Y213" i="30"/>
  <c r="Y215" i="30"/>
  <c r="Y217" i="30"/>
  <c r="Y233" i="30"/>
  <c r="AB209" i="30" l="1"/>
  <c r="Z102" i="30"/>
  <c r="Z72" i="30"/>
  <c r="AA172" i="30"/>
  <c r="AA102" i="30"/>
  <c r="AB172" i="30"/>
  <c r="Z180" i="30"/>
  <c r="AB219" i="30"/>
  <c r="Z215" i="30"/>
  <c r="AA219" i="30"/>
  <c r="Z221" i="30"/>
  <c r="Z225" i="30"/>
  <c r="AA107" i="30"/>
  <c r="AB107" i="30"/>
  <c r="AB102" i="30"/>
  <c r="AA72" i="30"/>
  <c r="AB216" i="30"/>
  <c r="AB213" i="30"/>
  <c r="AB214" i="30"/>
  <c r="AA213" i="30"/>
  <c r="Z209" i="30"/>
  <c r="AA223" i="30"/>
  <c r="Z219" i="30"/>
  <c r="AB210" i="30"/>
  <c r="Z212" i="30"/>
  <c r="AB217" i="30"/>
  <c r="AA224" i="30"/>
  <c r="AB211" i="30"/>
  <c r="AA222" i="30"/>
  <c r="AB215" i="30"/>
  <c r="AA226" i="30"/>
  <c r="AA218" i="30"/>
  <c r="AB203" i="30"/>
  <c r="AA225" i="30"/>
  <c r="Z222" i="30"/>
  <c r="AA209" i="30"/>
  <c r="Z214" i="30"/>
  <c r="Z145" i="30"/>
  <c r="Z174" i="30"/>
  <c r="Z223" i="30"/>
  <c r="AA217" i="30"/>
  <c r="AA215" i="30"/>
  <c r="AA220" i="30"/>
  <c r="Z210" i="30"/>
  <c r="AA180" i="30"/>
  <c r="Z136" i="30"/>
  <c r="Z220" i="30"/>
  <c r="AA221" i="30"/>
  <c r="AA212" i="30"/>
  <c r="Z226" i="30"/>
  <c r="AA210" i="30"/>
  <c r="AA211" i="30"/>
  <c r="AA214" i="30"/>
  <c r="Z218" i="30"/>
  <c r="AA216" i="30"/>
  <c r="Z216" i="30"/>
  <c r="AA144" i="30"/>
  <c r="AB145" i="30"/>
  <c r="AA136" i="30"/>
  <c r="AB136" i="30"/>
  <c r="Z224" i="30"/>
  <c r="AA174" i="30"/>
  <c r="Z107" i="30"/>
  <c r="Z172" i="30"/>
  <c r="AA203" i="30"/>
  <c r="Z181" i="30"/>
  <c r="Z144" i="30"/>
  <c r="AA204" i="30"/>
  <c r="AA145" i="30"/>
  <c r="AA181" i="30"/>
  <c r="T6" i="30"/>
  <c r="U6" i="30" s="1"/>
  <c r="T7" i="30"/>
  <c r="T8" i="30"/>
  <c r="T9" i="30"/>
  <c r="Y9" i="30" s="1"/>
  <c r="T10" i="30"/>
  <c r="W10" i="30" s="1"/>
  <c r="T11" i="30"/>
  <c r="X11" i="30" s="1"/>
  <c r="T12" i="30"/>
  <c r="X12" i="30" s="1"/>
  <c r="T13" i="30"/>
  <c r="Y13" i="30" s="1"/>
  <c r="T14" i="30"/>
  <c r="W14" i="30" s="1"/>
  <c r="T15" i="30"/>
  <c r="X15" i="30" s="1"/>
  <c r="T16" i="30"/>
  <c r="U16" i="30" s="1"/>
  <c r="T17" i="30"/>
  <c r="T18" i="30"/>
  <c r="U18" i="30" s="1"/>
  <c r="T19" i="30"/>
  <c r="T20" i="30"/>
  <c r="U20" i="30" s="1"/>
  <c r="T21" i="30"/>
  <c r="Y21" i="30" s="1"/>
  <c r="T22" i="30"/>
  <c r="W22" i="30" s="1"/>
  <c r="T23" i="30"/>
  <c r="X23" i="30" s="1"/>
  <c r="T24" i="30"/>
  <c r="T25" i="30"/>
  <c r="T26" i="30"/>
  <c r="W26" i="30" s="1"/>
  <c r="T27" i="30"/>
  <c r="W27" i="30" s="1"/>
  <c r="T28" i="30"/>
  <c r="Y28" i="30" s="1"/>
  <c r="T29" i="30"/>
  <c r="Y29" i="30" s="1"/>
  <c r="T30" i="30"/>
  <c r="W30" i="30" s="1"/>
  <c r="T31" i="30"/>
  <c r="T32" i="30"/>
  <c r="T33" i="30"/>
  <c r="T34" i="30"/>
  <c r="T35" i="30"/>
  <c r="T36" i="30"/>
  <c r="W36" i="30" s="1"/>
  <c r="T37" i="30"/>
  <c r="Y37" i="30" s="1"/>
  <c r="T38" i="30"/>
  <c r="T39" i="30"/>
  <c r="T40" i="30"/>
  <c r="T41" i="30"/>
  <c r="T42" i="30"/>
  <c r="U42" i="30" s="1"/>
  <c r="T43" i="30"/>
  <c r="T44" i="30"/>
  <c r="X44" i="30" s="1"/>
  <c r="T45" i="30"/>
  <c r="Y45" i="30" s="1"/>
  <c r="T46" i="30"/>
  <c r="W46" i="30" s="1"/>
  <c r="T47" i="30"/>
  <c r="X47" i="30" s="1"/>
  <c r="T48" i="30"/>
  <c r="X48" i="30" s="1"/>
  <c r="T49" i="30"/>
  <c r="T50" i="30"/>
  <c r="W50" i="30" s="1"/>
  <c r="T51" i="30"/>
  <c r="X51" i="30" s="1"/>
  <c r="T52" i="30"/>
  <c r="X52" i="30" s="1"/>
  <c r="T53" i="30"/>
  <c r="Y53" i="30" s="1"/>
  <c r="T54" i="30"/>
  <c r="Y54" i="30" s="1"/>
  <c r="T55" i="30"/>
  <c r="T56" i="30"/>
  <c r="T57" i="30"/>
  <c r="T58" i="30"/>
  <c r="W58" i="30" s="1"/>
  <c r="T59" i="30"/>
  <c r="X59" i="30" s="1"/>
  <c r="T60" i="30"/>
  <c r="X60" i="30" s="1"/>
  <c r="T61" i="30"/>
  <c r="Y61" i="30" s="1"/>
  <c r="T62" i="30"/>
  <c r="T63" i="30"/>
  <c r="W63" i="30" s="1"/>
  <c r="T64" i="30"/>
  <c r="X64" i="30" s="1"/>
  <c r="T65" i="30"/>
  <c r="T66" i="30"/>
  <c r="T67" i="30"/>
  <c r="T68" i="30"/>
  <c r="T69" i="30"/>
  <c r="Y69" i="30" s="1"/>
  <c r="T70" i="30"/>
  <c r="W70" i="30" s="1"/>
  <c r="T71" i="30"/>
  <c r="X71" i="30" s="1"/>
  <c r="T235" i="30"/>
  <c r="X235" i="30" s="1"/>
  <c r="T236" i="30"/>
  <c r="T237" i="30"/>
  <c r="T238" i="30"/>
  <c r="W238" i="30" s="1"/>
  <c r="T239" i="30"/>
  <c r="X239" i="30" s="1"/>
  <c r="T240" i="30"/>
  <c r="Y240" i="30" s="1"/>
  <c r="T241" i="30"/>
  <c r="W241" i="30" s="1"/>
  <c r="T242" i="30"/>
  <c r="X242" i="30" s="1"/>
  <c r="T243" i="30"/>
  <c r="T244" i="30"/>
  <c r="T245" i="30"/>
  <c r="W245" i="30" s="1"/>
  <c r="T246" i="30"/>
  <c r="X246" i="30" s="1"/>
  <c r="T247" i="30"/>
  <c r="X247" i="30" s="1"/>
  <c r="T248" i="30"/>
  <c r="Y248" i="30" s="1"/>
  <c r="T249" i="30"/>
  <c r="Y249" i="30" s="1"/>
  <c r="T250" i="30"/>
  <c r="T251" i="30"/>
  <c r="W251" i="30" s="1"/>
  <c r="T252" i="30"/>
  <c r="T253" i="30"/>
  <c r="W253" i="30" s="1"/>
  <c r="T254" i="30"/>
  <c r="X254" i="30" s="1"/>
  <c r="T255" i="30"/>
  <c r="U255" i="30" s="1"/>
  <c r="T256" i="30"/>
  <c r="Y256" i="30" s="1"/>
  <c r="T257" i="30"/>
  <c r="U257" i="30" s="1"/>
  <c r="T258" i="30"/>
  <c r="T259" i="30"/>
  <c r="X259" i="30" s="1"/>
  <c r="T260" i="30"/>
  <c r="T261" i="30"/>
  <c r="W261" i="30" s="1"/>
  <c r="T262" i="30"/>
  <c r="X262" i="30" s="1"/>
  <c r="T263" i="30"/>
  <c r="U263" i="30" s="1"/>
  <c r="T264" i="30"/>
  <c r="Y264" i="30" s="1"/>
  <c r="T265" i="30"/>
  <c r="T266" i="30"/>
  <c r="T267" i="30"/>
  <c r="U267" i="30" s="1"/>
  <c r="T268" i="30"/>
  <c r="T269" i="30"/>
  <c r="U269" i="30" s="1"/>
  <c r="T270" i="30"/>
  <c r="T271" i="30"/>
  <c r="Y271" i="30" s="1"/>
  <c r="T272" i="30"/>
  <c r="U272" i="30" s="1"/>
  <c r="T273" i="30"/>
  <c r="U273" i="30" s="1"/>
  <c r="T274" i="30"/>
  <c r="W274" i="30" s="1"/>
  <c r="T275" i="30"/>
  <c r="U275" i="30" s="1"/>
  <c r="T276" i="30"/>
  <c r="Y276" i="30" s="1"/>
  <c r="T277" i="30"/>
  <c r="T278" i="30"/>
  <c r="Y278" i="30" s="1"/>
  <c r="T279" i="30"/>
  <c r="Y279" i="30" s="1"/>
  <c r="T280" i="30"/>
  <c r="X280" i="30" s="1"/>
  <c r="T281" i="30"/>
  <c r="W281" i="30" s="1"/>
  <c r="T282" i="30"/>
  <c r="U282" i="30" s="1"/>
  <c r="T283" i="30"/>
  <c r="X283" i="30" s="1"/>
  <c r="T284" i="30"/>
  <c r="U284" i="30" s="1"/>
  <c r="T285" i="30"/>
  <c r="T286" i="30"/>
  <c r="X286" i="30" s="1"/>
  <c r="T287" i="30"/>
  <c r="U287" i="30" s="1"/>
  <c r="T288" i="30"/>
  <c r="U288" i="30" s="1"/>
  <c r="T289" i="30"/>
  <c r="T290" i="30"/>
  <c r="X290" i="30" s="1"/>
  <c r="T291" i="30"/>
  <c r="X291" i="30" s="1"/>
  <c r="T292" i="30"/>
  <c r="Y292" i="30" s="1"/>
  <c r="T293" i="30"/>
  <c r="X293" i="30" s="1"/>
  <c r="T294" i="30"/>
  <c r="X294" i="30" s="1"/>
  <c r="T295" i="30"/>
  <c r="X295" i="30" s="1"/>
  <c r="T296" i="30"/>
  <c r="U296" i="30" s="1"/>
  <c r="T297" i="30"/>
  <c r="Y297" i="30" s="1"/>
  <c r="T298" i="30"/>
  <c r="U298" i="30" s="1"/>
  <c r="T299" i="30"/>
  <c r="U299" i="30" s="1"/>
  <c r="T300" i="30"/>
  <c r="Y300" i="30" s="1"/>
  <c r="T301" i="30"/>
  <c r="X301" i="30" s="1"/>
  <c r="T302" i="30"/>
  <c r="Y302" i="30" s="1"/>
  <c r="T303" i="30"/>
  <c r="X303" i="30" s="1"/>
  <c r="T304" i="30"/>
  <c r="U304" i="30" s="1"/>
  <c r="T305" i="30"/>
  <c r="T306" i="30"/>
  <c r="Y306" i="30" s="1"/>
  <c r="T307" i="30"/>
  <c r="X307" i="30" s="1"/>
  <c r="T308" i="30"/>
  <c r="T309" i="30"/>
  <c r="X309" i="30" s="1"/>
  <c r="T310" i="30"/>
  <c r="X310" i="30" s="1"/>
  <c r="T311" i="30"/>
  <c r="X311" i="30" s="1"/>
  <c r="T312" i="30"/>
  <c r="U312" i="30" s="1"/>
  <c r="T313" i="30"/>
  <c r="Y313" i="30" s="1"/>
  <c r="T314" i="30"/>
  <c r="X314" i="30" s="1"/>
  <c r="T315" i="30"/>
  <c r="U315" i="30" s="1"/>
  <c r="T316" i="30"/>
  <c r="Y316" i="30" s="1"/>
  <c r="T317" i="30"/>
  <c r="X317" i="30" s="1"/>
  <c r="T318" i="30"/>
  <c r="T319" i="30"/>
  <c r="X319" i="30" s="1"/>
  <c r="T320" i="30"/>
  <c r="U320" i="30" s="1"/>
  <c r="T321" i="30"/>
  <c r="Y321" i="30" s="1"/>
  <c r="T322" i="30"/>
  <c r="Y322" i="30" s="1"/>
  <c r="T323" i="30"/>
  <c r="X323" i="30" s="1"/>
  <c r="T324" i="30"/>
  <c r="Y324" i="30" s="1"/>
  <c r="T325" i="30"/>
  <c r="X325" i="30" s="1"/>
  <c r="T326" i="30"/>
  <c r="X326" i="30" s="1"/>
  <c r="T327" i="30"/>
  <c r="X327" i="30" s="1"/>
  <c r="T328" i="30"/>
  <c r="U328" i="30" s="1"/>
  <c r="T329" i="30"/>
  <c r="Y329" i="30" s="1"/>
  <c r="T330" i="30"/>
  <c r="U330" i="30" s="1"/>
  <c r="T331" i="30"/>
  <c r="U331" i="30" s="1"/>
  <c r="T332" i="30"/>
  <c r="Y332" i="30" s="1"/>
  <c r="T333" i="30"/>
  <c r="X333" i="30" s="1"/>
  <c r="T334" i="30"/>
  <c r="T335" i="30"/>
  <c r="X335" i="30" s="1"/>
  <c r="T336" i="30"/>
  <c r="U336" i="30" s="1"/>
  <c r="T337" i="30"/>
  <c r="Y337" i="30" s="1"/>
  <c r="T338" i="30"/>
  <c r="Y338" i="30" s="1"/>
  <c r="T339" i="30"/>
  <c r="X339" i="30" s="1"/>
  <c r="T340" i="30"/>
  <c r="Y340" i="30" s="1"/>
  <c r="T341" i="30"/>
  <c r="X341" i="30" s="1"/>
  <c r="T342" i="30"/>
  <c r="X342" i="30" s="1"/>
  <c r="T343" i="30"/>
  <c r="X343" i="30" s="1"/>
  <c r="T344" i="30"/>
  <c r="U344" i="30" s="1"/>
  <c r="T345" i="30"/>
  <c r="Y345" i="30" s="1"/>
  <c r="T346" i="30"/>
  <c r="X346" i="30" s="1"/>
  <c r="T347" i="30"/>
  <c r="U347" i="30" s="1"/>
  <c r="T348" i="30"/>
  <c r="Y348" i="30" s="1"/>
  <c r="T349" i="30"/>
  <c r="X349" i="30" s="1"/>
  <c r="T350" i="30"/>
  <c r="T351" i="30"/>
  <c r="X351" i="30" s="1"/>
  <c r="T352" i="30"/>
  <c r="U352" i="30" s="1"/>
  <c r="T353" i="30"/>
  <c r="T354" i="30"/>
  <c r="Y354" i="30" s="1"/>
  <c r="T355" i="30"/>
  <c r="X355" i="30" s="1"/>
  <c r="T356" i="30"/>
  <c r="W356" i="30" s="1"/>
  <c r="T357" i="30"/>
  <c r="U357" i="30" s="1"/>
  <c r="T358" i="30"/>
  <c r="Y358" i="30" s="1"/>
  <c r="T359" i="30"/>
  <c r="X359" i="30" s="1"/>
  <c r="T360" i="30"/>
  <c r="T361" i="30"/>
  <c r="X361" i="30" s="1"/>
  <c r="T362" i="30"/>
  <c r="W362" i="30" s="1"/>
  <c r="T363" i="30"/>
  <c r="U363" i="30" s="1"/>
  <c r="T364" i="30"/>
  <c r="T365" i="30"/>
  <c r="W365" i="30" s="1"/>
  <c r="T366" i="30"/>
  <c r="Y366" i="30" s="1"/>
  <c r="T367" i="30"/>
  <c r="T368" i="30"/>
  <c r="W368" i="30" s="1"/>
  <c r="T369" i="30"/>
  <c r="U369" i="30" s="1"/>
  <c r="T370" i="30"/>
  <c r="T371" i="30"/>
  <c r="Y371" i="30" s="1"/>
  <c r="T372" i="30"/>
  <c r="T373" i="30"/>
  <c r="U373" i="30" s="1"/>
  <c r="T374" i="30"/>
  <c r="Y374" i="30" s="1"/>
  <c r="T375" i="30"/>
  <c r="X375" i="30" s="1"/>
  <c r="T376" i="30"/>
  <c r="W376" i="30" s="1"/>
  <c r="T377" i="30"/>
  <c r="U377" i="30" s="1"/>
  <c r="T378" i="30"/>
  <c r="U378" i="30" s="1"/>
  <c r="T379" i="30"/>
  <c r="U379" i="30" s="1"/>
  <c r="T380" i="30"/>
  <c r="W380" i="30" s="1"/>
  <c r="T381" i="30"/>
  <c r="U381" i="30" s="1"/>
  <c r="T382" i="30"/>
  <c r="U382" i="30" s="1"/>
  <c r="T383" i="30"/>
  <c r="X383" i="30" s="1"/>
  <c r="T384" i="30"/>
  <c r="W384" i="30" s="1"/>
  <c r="T385" i="30"/>
  <c r="U385" i="30" s="1"/>
  <c r="T386" i="30"/>
  <c r="U386" i="30" s="1"/>
  <c r="T387" i="30"/>
  <c r="X387" i="30" s="1"/>
  <c r="T388" i="30"/>
  <c r="W388" i="30" s="1"/>
  <c r="T389" i="30"/>
  <c r="U389" i="30" s="1"/>
  <c r="T390" i="30"/>
  <c r="U390" i="30" s="1"/>
  <c r="T391" i="30"/>
  <c r="X391" i="30" s="1"/>
  <c r="T392" i="30"/>
  <c r="W392" i="30" s="1"/>
  <c r="T393" i="30"/>
  <c r="U393" i="30" s="1"/>
  <c r="T394" i="30"/>
  <c r="U394" i="30" s="1"/>
  <c r="T395" i="30"/>
  <c r="X395" i="30" s="1"/>
  <c r="T396" i="30"/>
  <c r="W396" i="30" s="1"/>
  <c r="T397" i="30"/>
  <c r="U397" i="30" s="1"/>
  <c r="T398" i="30"/>
  <c r="U398" i="30" s="1"/>
  <c r="T399" i="30"/>
  <c r="W399" i="30" s="1"/>
  <c r="T400" i="30"/>
  <c r="W400" i="30" s="1"/>
  <c r="T401" i="30"/>
  <c r="U401" i="30" s="1"/>
  <c r="T402" i="30"/>
  <c r="U402" i="30" s="1"/>
  <c r="T403" i="30"/>
  <c r="U403" i="30" s="1"/>
  <c r="T404" i="30"/>
  <c r="U404" i="30" s="1"/>
  <c r="U400" i="30" l="1"/>
  <c r="W379" i="30"/>
  <c r="W11" i="30"/>
  <c r="X378" i="30"/>
  <c r="W319" i="30"/>
  <c r="Y12" i="30"/>
  <c r="U380" i="30"/>
  <c r="U368" i="30"/>
  <c r="W295" i="30"/>
  <c r="W12" i="30"/>
  <c r="U399" i="30"/>
  <c r="Y375" i="30"/>
  <c r="W235" i="30"/>
  <c r="X279" i="30"/>
  <c r="X14" i="30"/>
  <c r="U12" i="30"/>
  <c r="W382" i="30"/>
  <c r="X379" i="30"/>
  <c r="Y378" i="30"/>
  <c r="Y377" i="30"/>
  <c r="U316" i="30"/>
  <c r="W303" i="30"/>
  <c r="W282" i="30"/>
  <c r="X271" i="30"/>
  <c r="X345" i="30"/>
  <c r="U283" i="30"/>
  <c r="W262" i="30"/>
  <c r="U253" i="30"/>
  <c r="U70" i="30"/>
  <c r="U14" i="30"/>
  <c r="Y403" i="30"/>
  <c r="U371" i="30"/>
  <c r="U362" i="30"/>
  <c r="W339" i="30"/>
  <c r="W311" i="30"/>
  <c r="X306" i="30"/>
  <c r="Y288" i="30"/>
  <c r="W263" i="30"/>
  <c r="W254" i="30"/>
  <c r="X249" i="30"/>
  <c r="W71" i="30"/>
  <c r="U36" i="30"/>
  <c r="X26" i="30"/>
  <c r="Y399" i="30"/>
  <c r="W394" i="30"/>
  <c r="Y368" i="30"/>
  <c r="W327" i="30"/>
  <c r="X322" i="30"/>
  <c r="Y317" i="30"/>
  <c r="W291" i="30"/>
  <c r="X281" i="30"/>
  <c r="Y257" i="30"/>
  <c r="U239" i="30"/>
  <c r="Y71" i="30"/>
  <c r="X70" i="30"/>
  <c r="U30" i="30"/>
  <c r="U26" i="30"/>
  <c r="X390" i="30"/>
  <c r="W387" i="30"/>
  <c r="Y386" i="30"/>
  <c r="X358" i="30"/>
  <c r="W351" i="30"/>
  <c r="U348" i="30"/>
  <c r="W343" i="30"/>
  <c r="W335" i="30"/>
  <c r="W323" i="30"/>
  <c r="W307" i="30"/>
  <c r="W286" i="30"/>
  <c r="U241" i="30"/>
  <c r="U235" i="30"/>
  <c r="W52" i="30"/>
  <c r="Y51" i="30"/>
  <c r="X50" i="30"/>
  <c r="Y47" i="30"/>
  <c r="Y44" i="30"/>
  <c r="W15" i="30"/>
  <c r="Y52" i="30"/>
  <c r="U391" i="30"/>
  <c r="W390" i="30"/>
  <c r="U387" i="30"/>
  <c r="X386" i="30"/>
  <c r="Y373" i="30"/>
  <c r="Y362" i="30"/>
  <c r="Y359" i="30"/>
  <c r="X354" i="30"/>
  <c r="Y349" i="30"/>
  <c r="X338" i="30"/>
  <c r="X313" i="30"/>
  <c r="W290" i="30"/>
  <c r="Y287" i="30"/>
  <c r="U286" i="30"/>
  <c r="W280" i="30"/>
  <c r="X263" i="30"/>
  <c r="Y262" i="30"/>
  <c r="W259" i="30"/>
  <c r="X253" i="30"/>
  <c r="W239" i="30"/>
  <c r="U64" i="30"/>
  <c r="U52" i="30"/>
  <c r="W51" i="30"/>
  <c r="U50" i="30"/>
  <c r="W47" i="30"/>
  <c r="W44" i="30"/>
  <c r="Y16" i="30"/>
  <c r="Y383" i="30"/>
  <c r="Y346" i="30"/>
  <c r="Y314" i="30"/>
  <c r="Y247" i="30"/>
  <c r="W403" i="30"/>
  <c r="X399" i="30"/>
  <c r="W395" i="30"/>
  <c r="Y394" i="30"/>
  <c r="W386" i="30"/>
  <c r="W383" i="30"/>
  <c r="Y382" i="30"/>
  <c r="X362" i="30"/>
  <c r="W346" i="30"/>
  <c r="W314" i="30"/>
  <c r="X267" i="30"/>
  <c r="X261" i="30"/>
  <c r="W247" i="30"/>
  <c r="Y246" i="30"/>
  <c r="X245" i="30"/>
  <c r="Y242" i="30"/>
  <c r="Y241" i="30"/>
  <c r="U44" i="30"/>
  <c r="X403" i="30"/>
  <c r="Y395" i="30"/>
  <c r="Y261" i="30"/>
  <c r="U395" i="30"/>
  <c r="X394" i="30"/>
  <c r="W391" i="30"/>
  <c r="Y390" i="30"/>
  <c r="U383" i="30"/>
  <c r="X382" i="30"/>
  <c r="U366" i="30"/>
  <c r="U346" i="30"/>
  <c r="Y343" i="30"/>
  <c r="Y339" i="30"/>
  <c r="Y335" i="30"/>
  <c r="U332" i="30"/>
  <c r="X329" i="30"/>
  <c r="U314" i="30"/>
  <c r="Y311" i="30"/>
  <c r="Y307" i="30"/>
  <c r="Y303" i="30"/>
  <c r="U300" i="30"/>
  <c r="X297" i="30"/>
  <c r="X282" i="30"/>
  <c r="Y281" i="30"/>
  <c r="Y280" i="30"/>
  <c r="W267" i="30"/>
  <c r="U261" i="30"/>
  <c r="X255" i="30"/>
  <c r="U247" i="30"/>
  <c r="W246" i="30"/>
  <c r="U245" i="30"/>
  <c r="W242" i="30"/>
  <c r="X241" i="30"/>
  <c r="Y235" i="30"/>
  <c r="U58" i="30"/>
  <c r="Y36" i="30"/>
  <c r="Y15" i="30"/>
  <c r="Y14" i="30"/>
  <c r="Y298" i="30"/>
  <c r="Y275" i="30"/>
  <c r="Y402" i="30"/>
  <c r="Y398" i="30"/>
  <c r="X298" i="30"/>
  <c r="X275" i="30"/>
  <c r="Y46" i="30"/>
  <c r="Y330" i="30"/>
  <c r="X330" i="30"/>
  <c r="X402" i="30"/>
  <c r="Y391" i="30"/>
  <c r="W330" i="30"/>
  <c r="W298" i="30"/>
  <c r="Y284" i="30"/>
  <c r="Y283" i="30"/>
  <c r="W275" i="30"/>
  <c r="Y251" i="30"/>
  <c r="Y64" i="30"/>
  <c r="Y60" i="30"/>
  <c r="Y59" i="30"/>
  <c r="Y58" i="30"/>
  <c r="X46" i="30"/>
  <c r="X398" i="30"/>
  <c r="Y387" i="30"/>
  <c r="W402" i="30"/>
  <c r="W398" i="30"/>
  <c r="U392" i="30"/>
  <c r="U388" i="30"/>
  <c r="U384" i="30"/>
  <c r="Y380" i="30"/>
  <c r="Y379" i="30"/>
  <c r="Y351" i="30"/>
  <c r="Y333" i="30"/>
  <c r="Y327" i="30"/>
  <c r="Y323" i="30"/>
  <c r="Y319" i="30"/>
  <c r="Y301" i="30"/>
  <c r="Y295" i="30"/>
  <c r="Y291" i="30"/>
  <c r="Y290" i="30"/>
  <c r="Y286" i="30"/>
  <c r="W283" i="30"/>
  <c r="Y282" i="30"/>
  <c r="Y267" i="30"/>
  <c r="Y263" i="30"/>
  <c r="Y259" i="30"/>
  <c r="Y255" i="30"/>
  <c r="Y254" i="30"/>
  <c r="Y253" i="30"/>
  <c r="X251" i="30"/>
  <c r="Y239" i="30"/>
  <c r="W64" i="30"/>
  <c r="W59" i="30"/>
  <c r="X58" i="30"/>
  <c r="U46" i="30"/>
  <c r="W364" i="30"/>
  <c r="X364" i="30"/>
  <c r="Y364" i="30"/>
  <c r="W38" i="30"/>
  <c r="U38" i="30"/>
  <c r="X38" i="30"/>
  <c r="X367" i="30"/>
  <c r="U367" i="30"/>
  <c r="X363" i="30"/>
  <c r="W363" i="30"/>
  <c r="Y363" i="30"/>
  <c r="U342" i="30"/>
  <c r="W342" i="30"/>
  <c r="U326" i="30"/>
  <c r="W326" i="30"/>
  <c r="U310" i="30"/>
  <c r="W310" i="30"/>
  <c r="U294" i="30"/>
  <c r="W294" i="30"/>
  <c r="X67" i="30"/>
  <c r="W67" i="30"/>
  <c r="Y67" i="30"/>
  <c r="W404" i="30"/>
  <c r="Y404" i="30"/>
  <c r="U375" i="30"/>
  <c r="W375" i="30"/>
  <c r="W372" i="30"/>
  <c r="U372" i="30"/>
  <c r="W360" i="30"/>
  <c r="X360" i="30"/>
  <c r="Y360" i="30"/>
  <c r="X331" i="30"/>
  <c r="W331" i="30"/>
  <c r="Y331" i="30"/>
  <c r="X299" i="30"/>
  <c r="W299" i="30"/>
  <c r="Y299" i="30"/>
  <c r="W265" i="30"/>
  <c r="U265" i="30"/>
  <c r="X265" i="30"/>
  <c r="Y265" i="30"/>
  <c r="X250" i="30"/>
  <c r="W250" i="30"/>
  <c r="Y250" i="30"/>
  <c r="U370" i="30"/>
  <c r="X370" i="30"/>
  <c r="Y370" i="30"/>
  <c r="U350" i="30"/>
  <c r="W350" i="30"/>
  <c r="U334" i="30"/>
  <c r="W334" i="30"/>
  <c r="U318" i="30"/>
  <c r="W318" i="30"/>
  <c r="U302" i="30"/>
  <c r="W302" i="30"/>
  <c r="W56" i="30"/>
  <c r="X56" i="30"/>
  <c r="Y56" i="30"/>
  <c r="U56" i="30"/>
  <c r="U40" i="30"/>
  <c r="W40" i="30"/>
  <c r="Y40" i="30"/>
  <c r="X40" i="30"/>
  <c r="U8" i="30"/>
  <c r="W8" i="30"/>
  <c r="X8" i="30"/>
  <c r="Y8" i="30"/>
  <c r="U374" i="30"/>
  <c r="W374" i="30"/>
  <c r="X374" i="30"/>
  <c r="W366" i="30"/>
  <c r="X366" i="30"/>
  <c r="U361" i="30"/>
  <c r="Y361" i="30"/>
  <c r="Y350" i="30"/>
  <c r="X347" i="30"/>
  <c r="W347" i="30"/>
  <c r="Y347" i="30"/>
  <c r="Y334" i="30"/>
  <c r="Y318" i="30"/>
  <c r="X315" i="30"/>
  <c r="W315" i="30"/>
  <c r="Y315" i="30"/>
  <c r="U396" i="30"/>
  <c r="W371" i="30"/>
  <c r="X371" i="30"/>
  <c r="W370" i="30"/>
  <c r="U365" i="30"/>
  <c r="X365" i="30"/>
  <c r="Y365" i="30"/>
  <c r="U364" i="30"/>
  <c r="U358" i="30"/>
  <c r="W358" i="30"/>
  <c r="U354" i="30"/>
  <c r="W354" i="30"/>
  <c r="X350" i="30"/>
  <c r="Y342" i="30"/>
  <c r="U338" i="30"/>
  <c r="W338" i="30"/>
  <c r="X334" i="30"/>
  <c r="Y326" i="30"/>
  <c r="U322" i="30"/>
  <c r="W322" i="30"/>
  <c r="X318" i="30"/>
  <c r="Y310" i="30"/>
  <c r="U306" i="30"/>
  <c r="W306" i="30"/>
  <c r="X302" i="30"/>
  <c r="Y294" i="30"/>
  <c r="X258" i="30"/>
  <c r="Y258" i="30"/>
  <c r="W258" i="30"/>
  <c r="W62" i="30"/>
  <c r="X62" i="30"/>
  <c r="Y62" i="30"/>
  <c r="U62" i="30"/>
  <c r="W20" i="30"/>
  <c r="X20" i="30"/>
  <c r="Y20" i="30"/>
  <c r="W6" i="30"/>
  <c r="X6" i="30"/>
  <c r="Y6" i="30"/>
  <c r="W378" i="30"/>
  <c r="U376" i="30"/>
  <c r="Y369" i="30"/>
  <c r="W359" i="30"/>
  <c r="Y352" i="30"/>
  <c r="U351" i="30"/>
  <c r="U343" i="30"/>
  <c r="U339" i="30"/>
  <c r="Y336" i="30"/>
  <c r="U335" i="30"/>
  <c r="U327" i="30"/>
  <c r="U323" i="30"/>
  <c r="Y320" i="30"/>
  <c r="U319" i="30"/>
  <c r="U311" i="30"/>
  <c r="U307" i="30"/>
  <c r="Y304" i="30"/>
  <c r="U303" i="30"/>
  <c r="U295" i="30"/>
  <c r="U291" i="30"/>
  <c r="U290" i="30"/>
  <c r="U279" i="30"/>
  <c r="W279" i="30"/>
  <c r="U271" i="30"/>
  <c r="W271" i="30"/>
  <c r="W269" i="30"/>
  <c r="X269" i="30"/>
  <c r="Y269" i="30"/>
  <c r="U243" i="30"/>
  <c r="W243" i="30"/>
  <c r="X243" i="30"/>
  <c r="Y243" i="30"/>
  <c r="W68" i="30"/>
  <c r="X68" i="30"/>
  <c r="U68" i="30"/>
  <c r="Y68" i="30"/>
  <c r="W66" i="30"/>
  <c r="U66" i="30"/>
  <c r="X66" i="30"/>
  <c r="Y66" i="30"/>
  <c r="W54" i="30"/>
  <c r="U54" i="30"/>
  <c r="X54" i="30"/>
  <c r="W42" i="30"/>
  <c r="X42" i="30"/>
  <c r="Y42" i="30"/>
  <c r="X32" i="30"/>
  <c r="W32" i="30"/>
  <c r="Y32" i="30"/>
  <c r="U32" i="30"/>
  <c r="X287" i="30"/>
  <c r="W287" i="30"/>
  <c r="X285" i="30"/>
  <c r="Y285" i="30"/>
  <c r="W237" i="30"/>
  <c r="X237" i="30"/>
  <c r="Y237" i="30"/>
  <c r="U237" i="30"/>
  <c r="X55" i="30"/>
  <c r="W55" i="30"/>
  <c r="Y55" i="30"/>
  <c r="U48" i="30"/>
  <c r="W48" i="30"/>
  <c r="Y48" i="30"/>
  <c r="X43" i="30"/>
  <c r="Y43" i="30"/>
  <c r="W43" i="30"/>
  <c r="X19" i="30"/>
  <c r="Y19" i="30"/>
  <c r="W19" i="30"/>
  <c r="U281" i="30"/>
  <c r="U280" i="30"/>
  <c r="U259" i="30"/>
  <c r="W255" i="30"/>
  <c r="U251" i="30"/>
  <c r="W249" i="30"/>
  <c r="U249" i="30"/>
  <c r="U60" i="30"/>
  <c r="W60" i="30"/>
  <c r="X31" i="30"/>
  <c r="W31" i="30"/>
  <c r="X27" i="30"/>
  <c r="Y27" i="30"/>
  <c r="W24" i="30"/>
  <c r="U24" i="30"/>
  <c r="Y24" i="30"/>
  <c r="U10" i="30"/>
  <c r="X7" i="30"/>
  <c r="W7" i="30"/>
  <c r="Y7" i="30"/>
  <c r="W257" i="30"/>
  <c r="X257" i="30"/>
  <c r="X238" i="30"/>
  <c r="Y238" i="30"/>
  <c r="X63" i="30"/>
  <c r="Y63" i="30"/>
  <c r="X39" i="30"/>
  <c r="W39" i="30"/>
  <c r="Y39" i="30"/>
  <c r="W18" i="30"/>
  <c r="X18" i="30"/>
  <c r="Y245" i="30"/>
  <c r="Y70" i="30"/>
  <c r="Y50" i="30"/>
  <c r="Y26" i="30"/>
  <c r="U28" i="30"/>
  <c r="W28" i="30"/>
  <c r="X28" i="30"/>
  <c r="X35" i="30"/>
  <c r="W35" i="30"/>
  <c r="Y35" i="30"/>
  <c r="W34" i="30"/>
  <c r="U34" i="30"/>
  <c r="X34" i="30"/>
  <c r="Y34" i="30"/>
  <c r="Y22" i="30"/>
  <c r="X16" i="30"/>
  <c r="X36" i="30"/>
  <c r="Y30" i="30"/>
  <c r="X24" i="30"/>
  <c r="Y23" i="30"/>
  <c r="X22" i="30"/>
  <c r="W16" i="30"/>
  <c r="Y10" i="30"/>
  <c r="Y38" i="30"/>
  <c r="Y31" i="30"/>
  <c r="X30" i="30"/>
  <c r="W23" i="30"/>
  <c r="U22" i="30"/>
  <c r="Y18" i="30"/>
  <c r="Y11" i="30"/>
  <c r="X10" i="30"/>
  <c r="Y397" i="30"/>
  <c r="Y385" i="30"/>
  <c r="Y381" i="30"/>
  <c r="U353" i="30"/>
  <c r="W353" i="30"/>
  <c r="X389" i="30"/>
  <c r="Y376" i="30"/>
  <c r="Y356" i="30"/>
  <c r="Y355" i="30"/>
  <c r="W344" i="30"/>
  <c r="X344" i="30"/>
  <c r="W328" i="30"/>
  <c r="X328" i="30"/>
  <c r="U325" i="30"/>
  <c r="W325" i="30"/>
  <c r="W312" i="30"/>
  <c r="X312" i="30"/>
  <c r="U309" i="30"/>
  <c r="W309" i="30"/>
  <c r="W296" i="30"/>
  <c r="X296" i="30"/>
  <c r="U293" i="30"/>
  <c r="W293" i="30"/>
  <c r="U274" i="30"/>
  <c r="X274" i="30"/>
  <c r="Y274" i="30"/>
  <c r="X272" i="30"/>
  <c r="W272" i="30"/>
  <c r="Y272" i="30"/>
  <c r="U268" i="30"/>
  <c r="X268" i="30"/>
  <c r="W268" i="30"/>
  <c r="Y268" i="30"/>
  <c r="U252" i="30"/>
  <c r="W252" i="30"/>
  <c r="X252" i="30"/>
  <c r="Y252" i="30"/>
  <c r="U57" i="30"/>
  <c r="W57" i="30"/>
  <c r="X57" i="30"/>
  <c r="Y57" i="30"/>
  <c r="U25" i="30"/>
  <c r="W25" i="30"/>
  <c r="X25" i="30"/>
  <c r="Y25" i="30"/>
  <c r="Y389" i="30"/>
  <c r="W308" i="30"/>
  <c r="X308" i="30"/>
  <c r="U305" i="30"/>
  <c r="W305" i="30"/>
  <c r="U289" i="30"/>
  <c r="W289" i="30"/>
  <c r="U244" i="30"/>
  <c r="W244" i="30"/>
  <c r="X244" i="30"/>
  <c r="Y244" i="30"/>
  <c r="U49" i="30"/>
  <c r="W49" i="30"/>
  <c r="X49" i="30"/>
  <c r="Y49" i="30"/>
  <c r="X397" i="30"/>
  <c r="Y396" i="30"/>
  <c r="X393" i="30"/>
  <c r="Y392" i="30"/>
  <c r="X381" i="30"/>
  <c r="X377" i="30"/>
  <c r="X373" i="30"/>
  <c r="Y372" i="30"/>
  <c r="X369" i="30"/>
  <c r="Y357" i="30"/>
  <c r="U341" i="30"/>
  <c r="W341" i="30"/>
  <c r="X404" i="30"/>
  <c r="W401" i="30"/>
  <c r="X400" i="30"/>
  <c r="W397" i="30"/>
  <c r="X396" i="30"/>
  <c r="W393" i="30"/>
  <c r="X392" i="30"/>
  <c r="W389" i="30"/>
  <c r="X388" i="30"/>
  <c r="W385" i="30"/>
  <c r="X384" i="30"/>
  <c r="W381" i="30"/>
  <c r="X380" i="30"/>
  <c r="W377" i="30"/>
  <c r="X376" i="30"/>
  <c r="W373" i="30"/>
  <c r="X372" i="30"/>
  <c r="W369" i="30"/>
  <c r="X368" i="30"/>
  <c r="Y367" i="30"/>
  <c r="W361" i="30"/>
  <c r="U360" i="30"/>
  <c r="U359" i="30"/>
  <c r="X357" i="30"/>
  <c r="X356" i="30"/>
  <c r="W355" i="30"/>
  <c r="Y353" i="30"/>
  <c r="W348" i="30"/>
  <c r="X348" i="30"/>
  <c r="U345" i="30"/>
  <c r="W345" i="30"/>
  <c r="W332" i="30"/>
  <c r="X332" i="30"/>
  <c r="U329" i="30"/>
  <c r="W329" i="30"/>
  <c r="W316" i="30"/>
  <c r="X316" i="30"/>
  <c r="U313" i="30"/>
  <c r="W313" i="30"/>
  <c r="Y308" i="30"/>
  <c r="Y305" i="30"/>
  <c r="W300" i="30"/>
  <c r="X300" i="30"/>
  <c r="U297" i="30"/>
  <c r="W297" i="30"/>
  <c r="Y289" i="30"/>
  <c r="W284" i="30"/>
  <c r="X284" i="30"/>
  <c r="U278" i="30"/>
  <c r="W278" i="30"/>
  <c r="X278" i="30"/>
  <c r="X276" i="30"/>
  <c r="U276" i="30"/>
  <c r="W276" i="30"/>
  <c r="U260" i="30"/>
  <c r="W260" i="30"/>
  <c r="X260" i="30"/>
  <c r="Y260" i="30"/>
  <c r="U65" i="30"/>
  <c r="W65" i="30"/>
  <c r="X65" i="30"/>
  <c r="Y65" i="30"/>
  <c r="U33" i="30"/>
  <c r="W33" i="30"/>
  <c r="X33" i="30"/>
  <c r="Y33" i="30"/>
  <c r="Y401" i="30"/>
  <c r="Y393" i="30"/>
  <c r="W340" i="30"/>
  <c r="X340" i="30"/>
  <c r="U337" i="30"/>
  <c r="W337" i="30"/>
  <c r="W324" i="30"/>
  <c r="X324" i="30"/>
  <c r="U321" i="30"/>
  <c r="W321" i="30"/>
  <c r="W292" i="30"/>
  <c r="X292" i="30"/>
  <c r="W277" i="30"/>
  <c r="U277" i="30"/>
  <c r="X277" i="30"/>
  <c r="X270" i="30"/>
  <c r="U270" i="30"/>
  <c r="Y270" i="30"/>
  <c r="U17" i="30"/>
  <c r="W17" i="30"/>
  <c r="X17" i="30"/>
  <c r="Y17" i="30"/>
  <c r="X401" i="30"/>
  <c r="Y400" i="30"/>
  <c r="Y388" i="30"/>
  <c r="X385" i="30"/>
  <c r="Y384" i="30"/>
  <c r="W367" i="30"/>
  <c r="W357" i="30"/>
  <c r="U356" i="30"/>
  <c r="U355" i="30"/>
  <c r="X353" i="30"/>
  <c r="W352" i="30"/>
  <c r="X352" i="30"/>
  <c r="U349" i="30"/>
  <c r="W349" i="30"/>
  <c r="Y344" i="30"/>
  <c r="Y341" i="30"/>
  <c r="U340" i="30"/>
  <c r="X337" i="30"/>
  <c r="W336" i="30"/>
  <c r="X336" i="30"/>
  <c r="U333" i="30"/>
  <c r="W333" i="30"/>
  <c r="Y328" i="30"/>
  <c r="Y325" i="30"/>
  <c r="U324" i="30"/>
  <c r="X321" i="30"/>
  <c r="W320" i="30"/>
  <c r="X320" i="30"/>
  <c r="U317" i="30"/>
  <c r="W317" i="30"/>
  <c r="Y312" i="30"/>
  <c r="Y309" i="30"/>
  <c r="U308" i="30"/>
  <c r="X305" i="30"/>
  <c r="W304" i="30"/>
  <c r="X304" i="30"/>
  <c r="U301" i="30"/>
  <c r="W301" i="30"/>
  <c r="Y296" i="30"/>
  <c r="Y293" i="30"/>
  <c r="U292" i="30"/>
  <c r="X289" i="30"/>
  <c r="W288" i="30"/>
  <c r="X288" i="30"/>
  <c r="U285" i="30"/>
  <c r="W285" i="30"/>
  <c r="Y277" i="30"/>
  <c r="W273" i="30"/>
  <c r="X273" i="30"/>
  <c r="Y273" i="30"/>
  <c r="W270" i="30"/>
  <c r="X266" i="30"/>
  <c r="U266" i="30"/>
  <c r="W266" i="30"/>
  <c r="Y266" i="30"/>
  <c r="U236" i="30"/>
  <c r="W236" i="30"/>
  <c r="X236" i="30"/>
  <c r="Y236" i="30"/>
  <c r="U41" i="30"/>
  <c r="W41" i="30"/>
  <c r="X41" i="30"/>
  <c r="Y41" i="30"/>
  <c r="U264" i="30"/>
  <c r="W264" i="30"/>
  <c r="X264" i="30"/>
  <c r="U256" i="30"/>
  <c r="W256" i="30"/>
  <c r="X256" i="30"/>
  <c r="U248" i="30"/>
  <c r="W248" i="30"/>
  <c r="X248" i="30"/>
  <c r="U240" i="30"/>
  <c r="W240" i="30"/>
  <c r="X240" i="30"/>
  <c r="U69" i="30"/>
  <c r="W69" i="30"/>
  <c r="X69" i="30"/>
  <c r="U61" i="30"/>
  <c r="W61" i="30"/>
  <c r="X61" i="30"/>
  <c r="U53" i="30"/>
  <c r="W53" i="30"/>
  <c r="X53" i="30"/>
  <c r="U45" i="30"/>
  <c r="W45" i="30"/>
  <c r="X45" i="30"/>
  <c r="U37" i="30"/>
  <c r="W37" i="30"/>
  <c r="X37" i="30"/>
  <c r="U29" i="30"/>
  <c r="W29" i="30"/>
  <c r="X29" i="30"/>
  <c r="U21" i="30"/>
  <c r="W21" i="30"/>
  <c r="X21" i="30"/>
  <c r="U13" i="30"/>
  <c r="W13" i="30"/>
  <c r="X13" i="30"/>
  <c r="U9" i="30"/>
  <c r="W9" i="30"/>
  <c r="X9" i="30"/>
  <c r="U262" i="30"/>
  <c r="U258" i="30"/>
  <c r="U254" i="30"/>
  <c r="U250" i="30"/>
  <c r="U246" i="30"/>
  <c r="U242" i="30"/>
  <c r="U238" i="30"/>
  <c r="U71" i="30"/>
  <c r="U67" i="30"/>
  <c r="U63" i="30"/>
  <c r="U59" i="30"/>
  <c r="U55" i="30"/>
  <c r="U51" i="30"/>
  <c r="U47" i="30"/>
  <c r="U43" i="30"/>
  <c r="U39" i="30"/>
  <c r="U35" i="30"/>
  <c r="U31" i="30"/>
  <c r="U27" i="30"/>
  <c r="U23" i="30"/>
  <c r="U19" i="30"/>
  <c r="U15" i="30"/>
  <c r="U11" i="30"/>
  <c r="U7" i="30"/>
  <c r="C7" i="41" l="1"/>
  <c r="I30" i="24"/>
  <c r="F30" i="24"/>
  <c r="I29" i="24"/>
  <c r="F29" i="24"/>
  <c r="L353" i="30" l="1"/>
  <c r="L352" i="30"/>
  <c r="L351" i="30"/>
  <c r="L350" i="30"/>
  <c r="L349" i="30"/>
  <c r="L348" i="30"/>
  <c r="L347" i="30"/>
  <c r="L346" i="30"/>
  <c r="L345" i="30"/>
  <c r="L344" i="30"/>
  <c r="L343" i="30"/>
  <c r="L342" i="30"/>
  <c r="L341" i="30"/>
  <c r="L340" i="30"/>
  <c r="L339" i="30"/>
  <c r="L338" i="30"/>
  <c r="L337" i="30"/>
  <c r="L336" i="30"/>
  <c r="L335" i="30"/>
  <c r="L334" i="30"/>
  <c r="L333" i="30"/>
  <c r="L332" i="30"/>
  <c r="L331" i="30"/>
  <c r="L330" i="30"/>
  <c r="L329" i="30"/>
  <c r="L328" i="30"/>
  <c r="L327" i="30"/>
  <c r="L326" i="30"/>
  <c r="L325" i="30"/>
  <c r="L324" i="30"/>
  <c r="L323" i="30"/>
  <c r="L322" i="30"/>
  <c r="L321" i="30"/>
  <c r="L320" i="30"/>
  <c r="L319" i="30"/>
  <c r="L318" i="30"/>
  <c r="L317" i="30"/>
  <c r="L316" i="30"/>
  <c r="L315" i="30"/>
  <c r="L314" i="30"/>
  <c r="L313" i="30"/>
  <c r="L312" i="30"/>
  <c r="L311" i="30"/>
  <c r="L310" i="30"/>
  <c r="L309" i="30"/>
  <c r="L308" i="30"/>
  <c r="L307" i="30"/>
  <c r="L306" i="30"/>
  <c r="L305" i="30"/>
  <c r="L304" i="30"/>
  <c r="L303" i="30"/>
  <c r="L302" i="30"/>
  <c r="L301" i="30"/>
  <c r="L300" i="30"/>
  <c r="L299" i="30"/>
  <c r="L298" i="30"/>
  <c r="L297" i="30"/>
  <c r="L296" i="30"/>
  <c r="L295" i="30"/>
  <c r="L294" i="30"/>
  <c r="L293" i="30"/>
  <c r="L292" i="30"/>
  <c r="L291" i="30"/>
  <c r="L290" i="30"/>
  <c r="L289" i="30"/>
  <c r="L288" i="30"/>
  <c r="L287" i="30"/>
  <c r="L286" i="30"/>
  <c r="L285" i="30"/>
  <c r="L284" i="30"/>
  <c r="L283" i="30"/>
  <c r="L282" i="30"/>
  <c r="L281" i="30"/>
  <c r="L280" i="30"/>
  <c r="L279" i="30"/>
  <c r="L278" i="30"/>
  <c r="L277" i="30"/>
  <c r="L276" i="30"/>
  <c r="L275" i="30"/>
  <c r="L274" i="30"/>
  <c r="L273" i="30"/>
  <c r="L272" i="30"/>
  <c r="L271" i="30"/>
  <c r="L270" i="30"/>
  <c r="L269" i="30"/>
  <c r="L268" i="30"/>
  <c r="L267" i="30"/>
  <c r="L266" i="30"/>
  <c r="L265" i="30"/>
  <c r="L264" i="30"/>
  <c r="L263" i="30"/>
  <c r="L262" i="30"/>
  <c r="L261" i="30"/>
  <c r="L260" i="30"/>
  <c r="L259" i="30"/>
  <c r="L258" i="30"/>
  <c r="L257" i="30"/>
  <c r="L256" i="30"/>
  <c r="L255" i="30"/>
  <c r="L254" i="30"/>
  <c r="L253" i="30"/>
  <c r="L252" i="30"/>
  <c r="L251" i="30"/>
  <c r="L250" i="30"/>
  <c r="L249" i="30"/>
  <c r="L248" i="30"/>
  <c r="L247" i="30"/>
  <c r="L246" i="30"/>
  <c r="L245" i="30"/>
  <c r="L244" i="30"/>
  <c r="L243" i="30"/>
  <c r="L242" i="30"/>
  <c r="L241" i="30"/>
  <c r="L240" i="30"/>
  <c r="L239" i="30"/>
  <c r="L238" i="30"/>
  <c r="L237" i="30"/>
  <c r="L236" i="30"/>
  <c r="L235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I52" i="24" l="1"/>
  <c r="I53" i="24"/>
  <c r="I51" i="24"/>
  <c r="I41" i="24"/>
  <c r="I42" i="24"/>
  <c r="I43" i="24"/>
  <c r="I44" i="24"/>
  <c r="I45" i="24"/>
  <c r="I46" i="24"/>
  <c r="I47" i="24"/>
  <c r="I48" i="24"/>
  <c r="I40" i="24"/>
  <c r="I35" i="24"/>
  <c r="I34" i="24"/>
  <c r="I18" i="24"/>
  <c r="I19" i="24"/>
  <c r="I20" i="24"/>
  <c r="I21" i="24"/>
  <c r="I22" i="24"/>
  <c r="I23" i="24"/>
  <c r="I24" i="24"/>
  <c r="I25" i="24"/>
  <c r="I26" i="24"/>
  <c r="I27" i="24"/>
  <c r="I28" i="24"/>
  <c r="I31" i="24"/>
  <c r="I17" i="24"/>
  <c r="I10" i="24"/>
  <c r="I11" i="24"/>
  <c r="I12" i="24"/>
  <c r="I13" i="24"/>
  <c r="I14" i="24"/>
  <c r="I9" i="24"/>
  <c r="F52" i="24"/>
  <c r="F53" i="24"/>
  <c r="F51" i="24"/>
  <c r="F41" i="24"/>
  <c r="F42" i="24"/>
  <c r="F43" i="24"/>
  <c r="F44" i="24"/>
  <c r="F45" i="24"/>
  <c r="F46" i="24"/>
  <c r="F47" i="24"/>
  <c r="F48" i="24"/>
  <c r="F40" i="24"/>
  <c r="F35" i="24"/>
  <c r="F34" i="24"/>
  <c r="F18" i="24"/>
  <c r="F19" i="24"/>
  <c r="F20" i="24"/>
  <c r="F21" i="24"/>
  <c r="F22" i="24"/>
  <c r="F23" i="24"/>
  <c r="F24" i="24"/>
  <c r="F25" i="24"/>
  <c r="F26" i="24"/>
  <c r="F27" i="24"/>
  <c r="F28" i="24"/>
  <c r="F31" i="24"/>
  <c r="F17" i="24"/>
  <c r="F10" i="24"/>
  <c r="F11" i="24"/>
  <c r="F12" i="24"/>
  <c r="F13" i="24"/>
  <c r="F14" i="24"/>
  <c r="F9" i="24"/>
  <c r="G4" i="30" l="1"/>
  <c r="N403" i="30" l="1"/>
  <c r="L403" i="30"/>
  <c r="N402" i="30"/>
  <c r="L402" i="30"/>
  <c r="N401" i="30"/>
  <c r="L401" i="30"/>
  <c r="N400" i="30"/>
  <c r="L400" i="30"/>
  <c r="N399" i="30"/>
  <c r="L399" i="30"/>
  <c r="N398" i="30"/>
  <c r="L398" i="30"/>
  <c r="N397" i="30"/>
  <c r="L397" i="30"/>
  <c r="N396" i="30"/>
  <c r="L396" i="30"/>
  <c r="N395" i="30"/>
  <c r="L395" i="30"/>
  <c r="N394" i="30"/>
  <c r="L394" i="30"/>
  <c r="N393" i="30"/>
  <c r="L393" i="30"/>
  <c r="N392" i="30"/>
  <c r="L392" i="30"/>
  <c r="N391" i="30"/>
  <c r="L391" i="30"/>
  <c r="N390" i="30"/>
  <c r="L390" i="30"/>
  <c r="N389" i="30"/>
  <c r="L389" i="30"/>
  <c r="N388" i="30"/>
  <c r="L388" i="30"/>
  <c r="N387" i="30"/>
  <c r="L387" i="30"/>
  <c r="N386" i="30"/>
  <c r="L386" i="30"/>
  <c r="N385" i="30"/>
  <c r="L385" i="30"/>
  <c r="N384" i="30"/>
  <c r="L384" i="30"/>
  <c r="N383" i="30"/>
  <c r="L383" i="30"/>
  <c r="N382" i="30"/>
  <c r="L382" i="30"/>
  <c r="N381" i="30"/>
  <c r="L381" i="30"/>
  <c r="N380" i="30"/>
  <c r="L380" i="30"/>
  <c r="L379" i="30"/>
  <c r="L378" i="30"/>
  <c r="L377" i="30"/>
  <c r="L376" i="30"/>
  <c r="L375" i="30"/>
  <c r="L374" i="30"/>
  <c r="L373" i="30"/>
  <c r="L372" i="30"/>
  <c r="L371" i="30"/>
  <c r="L370" i="30"/>
  <c r="L369" i="30"/>
  <c r="L368" i="30"/>
  <c r="L367" i="30"/>
  <c r="N366" i="30"/>
  <c r="L366" i="30"/>
  <c r="N365" i="30"/>
  <c r="L365" i="30"/>
  <c r="L364" i="30"/>
  <c r="L363" i="30"/>
  <c r="L362" i="30"/>
  <c r="L361" i="30"/>
  <c r="L360" i="30"/>
  <c r="L359" i="30"/>
  <c r="L358" i="30"/>
  <c r="L357" i="30"/>
  <c r="L356" i="30"/>
  <c r="L355" i="30"/>
  <c r="L354" i="30"/>
  <c r="Q366" i="30" l="1"/>
  <c r="R366" i="30" s="1"/>
  <c r="S366" i="30" s="1"/>
  <c r="O366" i="30"/>
  <c r="O380" i="30"/>
  <c r="Z380" i="30" s="1"/>
  <c r="Q380" i="30"/>
  <c r="R380" i="30" s="1"/>
  <c r="O382" i="30"/>
  <c r="Q382" i="30"/>
  <c r="R382" i="30" s="1"/>
  <c r="S382" i="30" s="1"/>
  <c r="AB382" i="30" s="1"/>
  <c r="Q384" i="30"/>
  <c r="R384" i="30" s="1"/>
  <c r="S384" i="30" s="1"/>
  <c r="AB384" i="30" s="1"/>
  <c r="O384" i="30"/>
  <c r="O386" i="30"/>
  <c r="Q386" i="30"/>
  <c r="R386" i="30" s="1"/>
  <c r="S386" i="30" s="1"/>
  <c r="AB386" i="30" s="1"/>
  <c r="O388" i="30"/>
  <c r="Z388" i="30" s="1"/>
  <c r="Q388" i="30"/>
  <c r="R388" i="30" s="1"/>
  <c r="O390" i="30"/>
  <c r="Q390" i="30"/>
  <c r="R390" i="30" s="1"/>
  <c r="S390" i="30" s="1"/>
  <c r="O392" i="30"/>
  <c r="Z392" i="30" s="1"/>
  <c r="Q392" i="30"/>
  <c r="R392" i="30" s="1"/>
  <c r="S392" i="30" s="1"/>
  <c r="O394" i="30"/>
  <c r="Q394" i="30"/>
  <c r="R394" i="30" s="1"/>
  <c r="S394" i="30" s="1"/>
  <c r="R396" i="30"/>
  <c r="O396" i="30"/>
  <c r="Z396" i="30" s="1"/>
  <c r="Q396" i="30"/>
  <c r="O398" i="30"/>
  <c r="Q398" i="30"/>
  <c r="R398" i="30"/>
  <c r="S398" i="30" s="1"/>
  <c r="R400" i="30"/>
  <c r="S400" i="30" s="1"/>
  <c r="AB400" i="30" s="1"/>
  <c r="Q400" i="30"/>
  <c r="O400" i="30"/>
  <c r="Z400" i="30" s="1"/>
  <c r="O402" i="30"/>
  <c r="R402" i="30"/>
  <c r="S402" i="30" s="1"/>
  <c r="AB402" i="30" s="1"/>
  <c r="Q402" i="30"/>
  <c r="Q365" i="30"/>
  <c r="R365" i="30" s="1"/>
  <c r="S365" i="30" s="1"/>
  <c r="AB365" i="30" s="1"/>
  <c r="O365" i="30"/>
  <c r="Z365" i="30" s="1"/>
  <c r="O381" i="30"/>
  <c r="Z381" i="30" s="1"/>
  <c r="Q381" i="30"/>
  <c r="R381" i="30" s="1"/>
  <c r="S381" i="30" s="1"/>
  <c r="AB381" i="30" s="1"/>
  <c r="O383" i="30"/>
  <c r="Z383" i="30" s="1"/>
  <c r="Q383" i="30"/>
  <c r="R383" i="30" s="1"/>
  <c r="S383" i="30" s="1"/>
  <c r="O385" i="30"/>
  <c r="Z385" i="30" s="1"/>
  <c r="Q385" i="30"/>
  <c r="R385" i="30" s="1"/>
  <c r="S385" i="30" s="1"/>
  <c r="AB385" i="30" s="1"/>
  <c r="O387" i="30"/>
  <c r="Z387" i="30" s="1"/>
  <c r="Q387" i="30"/>
  <c r="R387" i="30" s="1"/>
  <c r="S387" i="30" s="1"/>
  <c r="O389" i="30"/>
  <c r="Z389" i="30" s="1"/>
  <c r="Q389" i="30"/>
  <c r="R389" i="30" s="1"/>
  <c r="S389" i="30" s="1"/>
  <c r="AB389" i="30" s="1"/>
  <c r="O391" i="30"/>
  <c r="Q391" i="30"/>
  <c r="R391" i="30" s="1"/>
  <c r="S391" i="30" s="1"/>
  <c r="O393" i="30"/>
  <c r="Z393" i="30" s="1"/>
  <c r="Q393" i="30"/>
  <c r="R393" i="30" s="1"/>
  <c r="S393" i="30" s="1"/>
  <c r="AB393" i="30" s="1"/>
  <c r="O395" i="30"/>
  <c r="Z395" i="30" s="1"/>
  <c r="Q395" i="30"/>
  <c r="R395" i="30" s="1"/>
  <c r="S395" i="30" s="1"/>
  <c r="O397" i="30"/>
  <c r="Z397" i="30" s="1"/>
  <c r="Q397" i="30"/>
  <c r="R397" i="30"/>
  <c r="S397" i="30" s="1"/>
  <c r="AB397" i="30" s="1"/>
  <c r="O399" i="30"/>
  <c r="Z399" i="30" s="1"/>
  <c r="R399" i="30"/>
  <c r="S399" i="30" s="1"/>
  <c r="Q399" i="30"/>
  <c r="O401" i="30"/>
  <c r="Z401" i="30" s="1"/>
  <c r="Q401" i="30"/>
  <c r="R401" i="30"/>
  <c r="S401" i="30" s="1"/>
  <c r="AB401" i="30" s="1"/>
  <c r="O403" i="30"/>
  <c r="Z403" i="30" s="1"/>
  <c r="Q403" i="30"/>
  <c r="R403" i="30"/>
  <c r="S403" i="30" s="1"/>
  <c r="I15" i="26"/>
  <c r="AA384" i="30" l="1"/>
  <c r="AA396" i="30"/>
  <c r="S396" i="30"/>
  <c r="AB396" i="30" s="1"/>
  <c r="AA388" i="30"/>
  <c r="S388" i="30"/>
  <c r="AB388" i="30" s="1"/>
  <c r="AA380" i="30"/>
  <c r="S380" i="30"/>
  <c r="AB380" i="30" s="1"/>
  <c r="AA401" i="30"/>
  <c r="AA397" i="30"/>
  <c r="AA400" i="30"/>
  <c r="AB392" i="30"/>
  <c r="AA365" i="30"/>
  <c r="AA389" i="30"/>
  <c r="Z398" i="30"/>
  <c r="Z366" i="30"/>
  <c r="AA392" i="30"/>
  <c r="AA393" i="30"/>
  <c r="AA385" i="30"/>
  <c r="AA381" i="30"/>
  <c r="Z382" i="30"/>
  <c r="Z384" i="30"/>
  <c r="Z391" i="30"/>
  <c r="AB395" i="30"/>
  <c r="AA395" i="30"/>
  <c r="AB391" i="30"/>
  <c r="AA391" i="30"/>
  <c r="AB383" i="30"/>
  <c r="AA383" i="30"/>
  <c r="AB398" i="30"/>
  <c r="AA398" i="30"/>
  <c r="AB366" i="30"/>
  <c r="AA366" i="30"/>
  <c r="AB399" i="30"/>
  <c r="AA399" i="30"/>
  <c r="AA394" i="30"/>
  <c r="AB394" i="30"/>
  <c r="Z386" i="30"/>
  <c r="AA402" i="30"/>
  <c r="AA387" i="30"/>
  <c r="Z394" i="30"/>
  <c r="AA386" i="30"/>
  <c r="AB403" i="30"/>
  <c r="AA390" i="30"/>
  <c r="AB390" i="30"/>
  <c r="Z402" i="30"/>
  <c r="Z390" i="30"/>
  <c r="AA382" i="30"/>
  <c r="AB387" i="30"/>
  <c r="AA403" i="30"/>
  <c r="D61" i="24" l="1"/>
  <c r="C37" i="29"/>
  <c r="E18" i="32"/>
  <c r="E17" i="32"/>
  <c r="C15" i="32"/>
  <c r="G11" i="26"/>
  <c r="G10" i="26"/>
  <c r="N134" i="30" l="1"/>
  <c r="N114" i="30"/>
  <c r="N135" i="30"/>
  <c r="N133" i="30"/>
  <c r="N113" i="30"/>
  <c r="G7" i="26"/>
  <c r="H10" i="26"/>
  <c r="G8" i="26"/>
  <c r="H8" i="26" s="1"/>
  <c r="G9" i="26"/>
  <c r="H9" i="26" s="1"/>
  <c r="Q133" i="30" l="1"/>
  <c r="R133" i="30" s="1"/>
  <c r="O133" i="30"/>
  <c r="Z133" i="30" s="1"/>
  <c r="O135" i="30"/>
  <c r="Z135" i="30" s="1"/>
  <c r="Q135" i="30"/>
  <c r="R135" i="30" s="1"/>
  <c r="O114" i="30"/>
  <c r="Z114" i="30" s="1"/>
  <c r="Q114" i="30"/>
  <c r="R114" i="30" s="1"/>
  <c r="Q113" i="30"/>
  <c r="R113" i="30" s="1"/>
  <c r="O113" i="30"/>
  <c r="Z113" i="30" s="1"/>
  <c r="O134" i="30"/>
  <c r="Z134" i="30" s="1"/>
  <c r="Q134" i="30"/>
  <c r="R134" i="30" s="1"/>
  <c r="G20" i="41"/>
  <c r="S135" i="30" l="1"/>
  <c r="AB135" i="30" s="1"/>
  <c r="AA135" i="30"/>
  <c r="S113" i="30"/>
  <c r="AB113" i="30" s="1"/>
  <c r="AA113" i="30"/>
  <c r="AA114" i="30"/>
  <c r="S114" i="30"/>
  <c r="AB114" i="30" s="1"/>
  <c r="S134" i="30"/>
  <c r="AB134" i="30" s="1"/>
  <c r="AA134" i="30"/>
  <c r="S133" i="30"/>
  <c r="AB133" i="30" s="1"/>
  <c r="AA133" i="30"/>
  <c r="L18" i="30"/>
  <c r="L404" i="30"/>
  <c r="G4" i="26" l="1"/>
  <c r="G5" i="26"/>
  <c r="G6" i="26"/>
  <c r="G12" i="26"/>
  <c r="G13" i="26"/>
  <c r="G15" i="26"/>
  <c r="G19" i="26" s="1"/>
  <c r="G17" i="26"/>
  <c r="G18" i="26"/>
  <c r="H6" i="26" l="1"/>
  <c r="D7" i="32" l="1"/>
  <c r="T5" i="30"/>
  <c r="H22" i="26"/>
  <c r="H20" i="26"/>
  <c r="H16" i="26"/>
  <c r="H19" i="26"/>
  <c r="H18" i="26"/>
  <c r="H17" i="26"/>
  <c r="H15" i="26"/>
  <c r="H11" i="26"/>
  <c r="H12" i="26"/>
  <c r="H7" i="26"/>
  <c r="H5" i="26"/>
  <c r="H4" i="26"/>
  <c r="N188" i="30" l="1"/>
  <c r="N205" i="30"/>
  <c r="N193" i="30"/>
  <c r="N189" i="30"/>
  <c r="N171" i="30"/>
  <c r="N167" i="30"/>
  <c r="N163" i="30"/>
  <c r="N153" i="30"/>
  <c r="N98" i="30"/>
  <c r="N79" i="30"/>
  <c r="N233" i="30"/>
  <c r="N197" i="30"/>
  <c r="N194" i="30"/>
  <c r="N190" i="30"/>
  <c r="N182" i="30"/>
  <c r="N168" i="30"/>
  <c r="N164" i="30"/>
  <c r="N154" i="30"/>
  <c r="N128" i="30"/>
  <c r="N120" i="30"/>
  <c r="N105" i="30"/>
  <c r="N99" i="30"/>
  <c r="N74" i="30"/>
  <c r="N229" i="30"/>
  <c r="N191" i="30"/>
  <c r="N173" i="30"/>
  <c r="N169" i="30"/>
  <c r="N165" i="30"/>
  <c r="N159" i="30"/>
  <c r="N129" i="30"/>
  <c r="N121" i="30"/>
  <c r="N115" i="30"/>
  <c r="N106" i="30"/>
  <c r="N103" i="30"/>
  <c r="N100" i="30"/>
  <c r="N96" i="30"/>
  <c r="N89" i="30"/>
  <c r="N75" i="30"/>
  <c r="N192" i="30"/>
  <c r="N170" i="30"/>
  <c r="N166" i="30"/>
  <c r="N160" i="30"/>
  <c r="N152" i="30"/>
  <c r="N146" i="30"/>
  <c r="N122" i="30"/>
  <c r="N97" i="30"/>
  <c r="N376" i="30"/>
  <c r="N364" i="30"/>
  <c r="N356" i="30"/>
  <c r="N378" i="30"/>
  <c r="N372" i="30"/>
  <c r="N358" i="30"/>
  <c r="N359" i="30"/>
  <c r="N357" i="30"/>
  <c r="N355" i="30"/>
  <c r="N151" i="30"/>
  <c r="N76" i="30"/>
  <c r="N147" i="30"/>
  <c r="N137" i="30"/>
  <c r="N127" i="30"/>
  <c r="N123" i="30"/>
  <c r="N119" i="30"/>
  <c r="N206" i="30"/>
  <c r="N148" i="30"/>
  <c r="N124" i="30"/>
  <c r="N82" i="30"/>
  <c r="N207" i="30"/>
  <c r="N198" i="30"/>
  <c r="N195" i="30"/>
  <c r="N183" i="30"/>
  <c r="N125" i="30"/>
  <c r="N208" i="30"/>
  <c r="N126" i="30"/>
  <c r="N116" i="30"/>
  <c r="N90" i="30"/>
  <c r="N367" i="30"/>
  <c r="N158" i="30"/>
  <c r="N142" i="30"/>
  <c r="N141" i="30"/>
  <c r="N143" i="30"/>
  <c r="N156" i="30"/>
  <c r="N140" i="30"/>
  <c r="N157" i="30"/>
  <c r="N234" i="30"/>
  <c r="N230" i="30"/>
  <c r="N201" i="30"/>
  <c r="N185" i="30"/>
  <c r="N179" i="30"/>
  <c r="N175" i="30"/>
  <c r="N162" i="30"/>
  <c r="N150" i="30"/>
  <c r="N138" i="30"/>
  <c r="N130" i="30"/>
  <c r="N118" i="30"/>
  <c r="N110" i="30"/>
  <c r="N94" i="30"/>
  <c r="N86" i="30"/>
  <c r="N78" i="30"/>
  <c r="N83" i="30"/>
  <c r="N232" i="30"/>
  <c r="N228" i="30"/>
  <c r="N132" i="30"/>
  <c r="N104" i="30"/>
  <c r="N80" i="30"/>
  <c r="N200" i="30"/>
  <c r="N184" i="30"/>
  <c r="N178" i="30"/>
  <c r="N149" i="30"/>
  <c r="N109" i="30"/>
  <c r="N101" i="30"/>
  <c r="N93" i="30"/>
  <c r="N85" i="30"/>
  <c r="N81" i="30"/>
  <c r="N77" i="30"/>
  <c r="N231" i="30"/>
  <c r="N227" i="30"/>
  <c r="N202" i="30"/>
  <c r="N186" i="30"/>
  <c r="N176" i="30"/>
  <c r="N155" i="30"/>
  <c r="N139" i="30"/>
  <c r="N131" i="30"/>
  <c r="N111" i="30"/>
  <c r="N95" i="30"/>
  <c r="N91" i="30"/>
  <c r="N87" i="30"/>
  <c r="N199" i="30"/>
  <c r="N187" i="30"/>
  <c r="N177" i="30"/>
  <c r="N112" i="30"/>
  <c r="N108" i="30"/>
  <c r="N92" i="30"/>
  <c r="N88" i="30"/>
  <c r="N84" i="30"/>
  <c r="N196" i="30"/>
  <c r="N161" i="30"/>
  <c r="N117" i="30"/>
  <c r="N73" i="30"/>
  <c r="N379" i="30"/>
  <c r="N375" i="30"/>
  <c r="N371" i="30"/>
  <c r="N361" i="30"/>
  <c r="N360" i="30"/>
  <c r="N368" i="30"/>
  <c r="N374" i="30"/>
  <c r="N370" i="30"/>
  <c r="N362" i="30"/>
  <c r="N377" i="30"/>
  <c r="N373" i="30"/>
  <c r="N369" i="30"/>
  <c r="N363" i="30"/>
  <c r="N354" i="30"/>
  <c r="N16" i="30"/>
  <c r="N15" i="30"/>
  <c r="X5" i="30"/>
  <c r="U5" i="30"/>
  <c r="N313" i="30"/>
  <c r="N311" i="30"/>
  <c r="N346" i="30"/>
  <c r="N344" i="30"/>
  <c r="N342" i="30"/>
  <c r="N340" i="30"/>
  <c r="N338" i="30"/>
  <c r="N336" i="30"/>
  <c r="N334" i="30"/>
  <c r="N332" i="30"/>
  <c r="N289" i="30"/>
  <c r="N347" i="30"/>
  <c r="N345" i="30"/>
  <c r="N341" i="30"/>
  <c r="N335" i="30"/>
  <c r="N270" i="30"/>
  <c r="N337" i="30"/>
  <c r="N314" i="30"/>
  <c r="N312" i="30"/>
  <c r="N349" i="30"/>
  <c r="N343" i="30"/>
  <c r="N339" i="30"/>
  <c r="N333" i="30"/>
  <c r="N290" i="30"/>
  <c r="N269" i="30"/>
  <c r="G10" i="41"/>
  <c r="N321" i="30"/>
  <c r="N246" i="30"/>
  <c r="N348" i="30"/>
  <c r="N248" i="30"/>
  <c r="N235" i="30"/>
  <c r="N288" i="30"/>
  <c r="N310" i="30"/>
  <c r="N351" i="30"/>
  <c r="N302" i="30"/>
  <c r="N243" i="30"/>
  <c r="N275" i="30"/>
  <c r="N301" i="30"/>
  <c r="N329" i="30"/>
  <c r="N325" i="30"/>
  <c r="N317" i="30"/>
  <c r="N309" i="30"/>
  <c r="N305" i="30"/>
  <c r="N297" i="30"/>
  <c r="N293" i="30"/>
  <c r="N285" i="30"/>
  <c r="N280" i="30"/>
  <c r="N266" i="30"/>
  <c r="N274" i="30"/>
  <c r="N278" i="30"/>
  <c r="N271" i="30"/>
  <c r="N255" i="30"/>
  <c r="N251" i="30"/>
  <c r="N244" i="30"/>
  <c r="N256" i="30"/>
  <c r="N240" i="30"/>
  <c r="N236" i="30"/>
  <c r="N65" i="30"/>
  <c r="N328" i="30"/>
  <c r="N324" i="30"/>
  <c r="N316" i="30"/>
  <c r="N304" i="30"/>
  <c r="N283" i="30"/>
  <c r="N265" i="30"/>
  <c r="N261" i="30"/>
  <c r="N259" i="30"/>
  <c r="N239" i="30"/>
  <c r="N68" i="30"/>
  <c r="N64" i="30"/>
  <c r="N327" i="30"/>
  <c r="N323" i="30"/>
  <c r="N315" i="30"/>
  <c r="N299" i="30"/>
  <c r="N295" i="30"/>
  <c r="N287" i="30"/>
  <c r="N282" i="30"/>
  <c r="N273" i="30"/>
  <c r="N253" i="30"/>
  <c r="N249" i="30"/>
  <c r="N260" i="30"/>
  <c r="N258" i="30"/>
  <c r="N350" i="30"/>
  <c r="N330" i="30"/>
  <c r="N326" i="30"/>
  <c r="N322" i="30"/>
  <c r="N318" i="30"/>
  <c r="N306" i="30"/>
  <c r="N298" i="30"/>
  <c r="N294" i="30"/>
  <c r="N286" i="30"/>
  <c r="N281" i="30"/>
  <c r="N263" i="30"/>
  <c r="N268" i="30"/>
  <c r="N279" i="30"/>
  <c r="N272" i="30"/>
  <c r="N252" i="30"/>
  <c r="N247" i="30"/>
  <c r="N245" i="30"/>
  <c r="N257" i="30"/>
  <c r="N241" i="30"/>
  <c r="N237" i="30"/>
  <c r="N70" i="30"/>
  <c r="N66" i="30"/>
  <c r="N69" i="30"/>
  <c r="N320" i="30"/>
  <c r="N308" i="30"/>
  <c r="N300" i="30"/>
  <c r="N296" i="30"/>
  <c r="N292" i="30"/>
  <c r="N267" i="30"/>
  <c r="N277" i="30"/>
  <c r="N254" i="30"/>
  <c r="N250" i="30"/>
  <c r="N331" i="30"/>
  <c r="N319" i="30"/>
  <c r="N307" i="30"/>
  <c r="N303" i="30"/>
  <c r="N291" i="30"/>
  <c r="N264" i="30"/>
  <c r="N262" i="30"/>
  <c r="N276" i="30"/>
  <c r="N242" i="30"/>
  <c r="N238" i="30"/>
  <c r="N71" i="30"/>
  <c r="N67" i="30"/>
  <c r="N8" i="30"/>
  <c r="N352" i="30"/>
  <c r="N353" i="30"/>
  <c r="N24" i="30"/>
  <c r="N41" i="30"/>
  <c r="N25" i="30"/>
  <c r="N54" i="30"/>
  <c r="N7" i="30"/>
  <c r="N42" i="30"/>
  <c r="N26" i="30"/>
  <c r="N62" i="30"/>
  <c r="N53" i="30"/>
  <c r="N49" i="30"/>
  <c r="N6" i="30"/>
  <c r="N18" i="30"/>
  <c r="N44" i="30"/>
  <c r="N43" i="30"/>
  <c r="N55" i="30"/>
  <c r="N27" i="30"/>
  <c r="N9" i="30"/>
  <c r="N63" i="30"/>
  <c r="N10" i="30"/>
  <c r="N19" i="30"/>
  <c r="N28" i="30"/>
  <c r="N46" i="30"/>
  <c r="N57" i="30"/>
  <c r="N11" i="30"/>
  <c r="N32" i="30"/>
  <c r="N58" i="30"/>
  <c r="N12" i="30"/>
  <c r="N22" i="30"/>
  <c r="N33" i="30"/>
  <c r="N59" i="30"/>
  <c r="N20" i="30"/>
  <c r="N48" i="30"/>
  <c r="N14" i="30"/>
  <c r="N23" i="30"/>
  <c r="N40" i="30"/>
  <c r="N17" i="30"/>
  <c r="N61" i="30"/>
  <c r="N35" i="30"/>
  <c r="N31" i="30"/>
  <c r="N34" i="30"/>
  <c r="N404" i="30"/>
  <c r="N284" i="30"/>
  <c r="N36" i="30"/>
  <c r="N50" i="30"/>
  <c r="N39" i="30"/>
  <c r="N47" i="30"/>
  <c r="N13" i="30"/>
  <c r="N21" i="30"/>
  <c r="N29" i="30"/>
  <c r="N37" i="30"/>
  <c r="N45" i="30"/>
  <c r="N51" i="30"/>
  <c r="N56" i="30"/>
  <c r="N5" i="30"/>
  <c r="N30" i="30"/>
  <c r="N38" i="30"/>
  <c r="N52" i="30"/>
  <c r="N60" i="30"/>
  <c r="L4" i="30"/>
  <c r="E7" i="32" s="1"/>
  <c r="W5" i="30"/>
  <c r="I19" i="26"/>
  <c r="I16" i="26"/>
  <c r="H13" i="26"/>
  <c r="Q367" i="30" l="1"/>
  <c r="R367" i="30" s="1"/>
  <c r="O367" i="30"/>
  <c r="Z367" i="30" s="1"/>
  <c r="Q208" i="30"/>
  <c r="R208" i="30" s="1"/>
  <c r="O208" i="30"/>
  <c r="Z208" i="30" s="1"/>
  <c r="O198" i="30"/>
  <c r="Z198" i="30" s="1"/>
  <c r="Q198" i="30"/>
  <c r="R198" i="30" s="1"/>
  <c r="O148" i="30"/>
  <c r="Z148" i="30" s="1"/>
  <c r="Q148" i="30"/>
  <c r="R148" i="30" s="1"/>
  <c r="O127" i="30"/>
  <c r="Z127" i="30" s="1"/>
  <c r="Q127" i="30"/>
  <c r="R127" i="30" s="1"/>
  <c r="Q151" i="30"/>
  <c r="R151" i="30" s="1"/>
  <c r="O151" i="30"/>
  <c r="Z151" i="30" s="1"/>
  <c r="Q358" i="30"/>
  <c r="R358" i="30" s="1"/>
  <c r="O358" i="30"/>
  <c r="Z358" i="30" s="1"/>
  <c r="O364" i="30"/>
  <c r="Z364" i="30" s="1"/>
  <c r="Q364" i="30"/>
  <c r="R364" i="30" s="1"/>
  <c r="Q146" i="30"/>
  <c r="R146" i="30" s="1"/>
  <c r="O146" i="30"/>
  <c r="Z146" i="30" s="1"/>
  <c r="O170" i="30"/>
  <c r="Z170" i="30" s="1"/>
  <c r="Q170" i="30"/>
  <c r="R170" i="30" s="1"/>
  <c r="Q96" i="30"/>
  <c r="R96" i="30" s="1"/>
  <c r="O96" i="30"/>
  <c r="Z96" i="30" s="1"/>
  <c r="Q115" i="30"/>
  <c r="R115" i="30" s="1"/>
  <c r="O115" i="30"/>
  <c r="Z115" i="30" s="1"/>
  <c r="Q165" i="30"/>
  <c r="R165" i="30" s="1"/>
  <c r="O165" i="30"/>
  <c r="Z165" i="30" s="1"/>
  <c r="O229" i="30"/>
  <c r="Z229" i="30" s="1"/>
  <c r="Q229" i="30"/>
  <c r="R229" i="30" s="1"/>
  <c r="O120" i="30"/>
  <c r="Z120" i="30" s="1"/>
  <c r="Q120" i="30"/>
  <c r="R120" i="30" s="1"/>
  <c r="O168" i="30"/>
  <c r="Z168" i="30" s="1"/>
  <c r="Q168" i="30"/>
  <c r="R168" i="30" s="1"/>
  <c r="Q197" i="30"/>
  <c r="R197" i="30" s="1"/>
  <c r="O197" i="30"/>
  <c r="Z197" i="30" s="1"/>
  <c r="Q153" i="30"/>
  <c r="R153" i="30" s="1"/>
  <c r="O153" i="30"/>
  <c r="Z153" i="30" s="1"/>
  <c r="Q189" i="30"/>
  <c r="R189" i="30" s="1"/>
  <c r="O189" i="30"/>
  <c r="Z189" i="30" s="1"/>
  <c r="O90" i="30"/>
  <c r="Z90" i="30" s="1"/>
  <c r="Q90" i="30"/>
  <c r="R90" i="30" s="1"/>
  <c r="Q125" i="30"/>
  <c r="R125" i="30" s="1"/>
  <c r="O125" i="30"/>
  <c r="Z125" i="30" s="1"/>
  <c r="O207" i="30"/>
  <c r="Z207" i="30" s="1"/>
  <c r="Q207" i="30"/>
  <c r="R207" i="30" s="1"/>
  <c r="O206" i="30"/>
  <c r="Z206" i="30" s="1"/>
  <c r="Q206" i="30"/>
  <c r="R206" i="30" s="1"/>
  <c r="Q137" i="30"/>
  <c r="R137" i="30" s="1"/>
  <c r="O137" i="30"/>
  <c r="Z137" i="30" s="1"/>
  <c r="O355" i="30"/>
  <c r="Z355" i="30" s="1"/>
  <c r="Q355" i="30"/>
  <c r="R355" i="30" s="1"/>
  <c r="Q372" i="30"/>
  <c r="R372" i="30" s="1"/>
  <c r="O372" i="30"/>
  <c r="Z372" i="30" s="1"/>
  <c r="O376" i="30"/>
  <c r="Z376" i="30" s="1"/>
  <c r="Q376" i="30"/>
  <c r="R376" i="30" s="1"/>
  <c r="O152" i="30"/>
  <c r="Z152" i="30" s="1"/>
  <c r="Q152" i="30"/>
  <c r="R152" i="30" s="1"/>
  <c r="O192" i="30"/>
  <c r="Z192" i="30" s="1"/>
  <c r="Q192" i="30"/>
  <c r="R192" i="30" s="1"/>
  <c r="Q100" i="30"/>
  <c r="R100" i="30" s="1"/>
  <c r="O100" i="30"/>
  <c r="Z100" i="30" s="1"/>
  <c r="Q121" i="30"/>
  <c r="R121" i="30" s="1"/>
  <c r="O121" i="30"/>
  <c r="Z121" i="30" s="1"/>
  <c r="O169" i="30"/>
  <c r="Z169" i="30" s="1"/>
  <c r="Q169" i="30"/>
  <c r="R169" i="30" s="1"/>
  <c r="Q74" i="30"/>
  <c r="R74" i="30" s="1"/>
  <c r="O74" i="30"/>
  <c r="Z74" i="30" s="1"/>
  <c r="O128" i="30"/>
  <c r="Z128" i="30" s="1"/>
  <c r="Q128" i="30"/>
  <c r="R128" i="30" s="1"/>
  <c r="Q182" i="30"/>
  <c r="R182" i="30" s="1"/>
  <c r="O182" i="30"/>
  <c r="Z182" i="30" s="1"/>
  <c r="Q233" i="30"/>
  <c r="R233" i="30" s="1"/>
  <c r="O233" i="30"/>
  <c r="Z233" i="30" s="1"/>
  <c r="O163" i="30"/>
  <c r="Z163" i="30" s="1"/>
  <c r="Q163" i="30"/>
  <c r="R163" i="30" s="1"/>
  <c r="O193" i="30"/>
  <c r="Z193" i="30" s="1"/>
  <c r="Q193" i="30"/>
  <c r="R193" i="30" s="1"/>
  <c r="O116" i="30"/>
  <c r="Z116" i="30" s="1"/>
  <c r="Q116" i="30"/>
  <c r="R116" i="30" s="1"/>
  <c r="O183" i="30"/>
  <c r="Z183" i="30" s="1"/>
  <c r="Q183" i="30"/>
  <c r="R183" i="30" s="1"/>
  <c r="Q82" i="30"/>
  <c r="R82" i="30" s="1"/>
  <c r="O82" i="30"/>
  <c r="Z82" i="30" s="1"/>
  <c r="O119" i="30"/>
  <c r="Z119" i="30" s="1"/>
  <c r="Q119" i="30"/>
  <c r="R119" i="30" s="1"/>
  <c r="Q147" i="30"/>
  <c r="R147" i="30" s="1"/>
  <c r="O147" i="30"/>
  <c r="Z147" i="30" s="1"/>
  <c r="Q357" i="30"/>
  <c r="R357" i="30" s="1"/>
  <c r="O357" i="30"/>
  <c r="Z357" i="30" s="1"/>
  <c r="O378" i="30"/>
  <c r="Z378" i="30" s="1"/>
  <c r="Q378" i="30"/>
  <c r="R378" i="30" s="1"/>
  <c r="O97" i="30"/>
  <c r="Z97" i="30" s="1"/>
  <c r="Q97" i="30"/>
  <c r="R97" i="30" s="1"/>
  <c r="O160" i="30"/>
  <c r="Z160" i="30" s="1"/>
  <c r="Q160" i="30"/>
  <c r="R160" i="30" s="1"/>
  <c r="Q75" i="30"/>
  <c r="R75" i="30" s="1"/>
  <c r="O75" i="30"/>
  <c r="Z75" i="30" s="1"/>
  <c r="O103" i="30"/>
  <c r="Z103" i="30" s="1"/>
  <c r="Q103" i="30"/>
  <c r="R103" i="30" s="1"/>
  <c r="O129" i="30"/>
  <c r="Z129" i="30" s="1"/>
  <c r="Q129" i="30"/>
  <c r="R129" i="30" s="1"/>
  <c r="O173" i="30"/>
  <c r="Z173" i="30" s="1"/>
  <c r="Q173" i="30"/>
  <c r="R173" i="30" s="1"/>
  <c r="O99" i="30"/>
  <c r="Z99" i="30" s="1"/>
  <c r="Q99" i="30"/>
  <c r="R99" i="30" s="1"/>
  <c r="Q154" i="30"/>
  <c r="R154" i="30" s="1"/>
  <c r="O154" i="30"/>
  <c r="Z154" i="30" s="1"/>
  <c r="O190" i="30"/>
  <c r="Z190" i="30" s="1"/>
  <c r="Q190" i="30"/>
  <c r="R190" i="30" s="1"/>
  <c r="Q79" i="30"/>
  <c r="R79" i="30" s="1"/>
  <c r="O79" i="30"/>
  <c r="Z79" i="30" s="1"/>
  <c r="Q167" i="30"/>
  <c r="R167" i="30" s="1"/>
  <c r="O167" i="30"/>
  <c r="Z167" i="30" s="1"/>
  <c r="Q205" i="30"/>
  <c r="R205" i="30" s="1"/>
  <c r="O205" i="30"/>
  <c r="Z205" i="30" s="1"/>
  <c r="T158" i="30"/>
  <c r="T156" i="30"/>
  <c r="T142" i="30"/>
  <c r="T140" i="30"/>
  <c r="T157" i="30"/>
  <c r="T143" i="30"/>
  <c r="T141" i="30"/>
  <c r="O126" i="30"/>
  <c r="Z126" i="30" s="1"/>
  <c r="Q126" i="30"/>
  <c r="R126" i="30" s="1"/>
  <c r="O195" i="30"/>
  <c r="Z195" i="30" s="1"/>
  <c r="Q195" i="30"/>
  <c r="R195" i="30" s="1"/>
  <c r="O124" i="30"/>
  <c r="Z124" i="30" s="1"/>
  <c r="Q124" i="30"/>
  <c r="R124" i="30" s="1"/>
  <c r="O123" i="30"/>
  <c r="Z123" i="30" s="1"/>
  <c r="Q123" i="30"/>
  <c r="R123" i="30" s="1"/>
  <c r="O76" i="30"/>
  <c r="Z76" i="30" s="1"/>
  <c r="Q76" i="30"/>
  <c r="R76" i="30" s="1"/>
  <c r="O359" i="30"/>
  <c r="Z359" i="30" s="1"/>
  <c r="Q359" i="30"/>
  <c r="R359" i="30" s="1"/>
  <c r="O356" i="30"/>
  <c r="Z356" i="30" s="1"/>
  <c r="Q356" i="30"/>
  <c r="R356" i="30" s="1"/>
  <c r="Q122" i="30"/>
  <c r="R122" i="30" s="1"/>
  <c r="O122" i="30"/>
  <c r="Z122" i="30" s="1"/>
  <c r="Q166" i="30"/>
  <c r="R166" i="30" s="1"/>
  <c r="O166" i="30"/>
  <c r="Z166" i="30" s="1"/>
  <c r="Q89" i="30"/>
  <c r="R89" i="30" s="1"/>
  <c r="O89" i="30"/>
  <c r="Z89" i="30" s="1"/>
  <c r="O106" i="30"/>
  <c r="Z106" i="30" s="1"/>
  <c r="Q106" i="30"/>
  <c r="R106" i="30" s="1"/>
  <c r="O159" i="30"/>
  <c r="Z159" i="30" s="1"/>
  <c r="Q159" i="30"/>
  <c r="R159" i="30" s="1"/>
  <c r="Q191" i="30"/>
  <c r="R191" i="30" s="1"/>
  <c r="O191" i="30"/>
  <c r="Z191" i="30" s="1"/>
  <c r="O105" i="30"/>
  <c r="Z105" i="30" s="1"/>
  <c r="Q105" i="30"/>
  <c r="R105" i="30" s="1"/>
  <c r="Q164" i="30"/>
  <c r="R164" i="30" s="1"/>
  <c r="O164" i="30"/>
  <c r="Z164" i="30" s="1"/>
  <c r="O194" i="30"/>
  <c r="Z194" i="30" s="1"/>
  <c r="Q194" i="30"/>
  <c r="R194" i="30" s="1"/>
  <c r="O98" i="30"/>
  <c r="Z98" i="30" s="1"/>
  <c r="Q98" i="30"/>
  <c r="R98" i="30" s="1"/>
  <c r="O171" i="30"/>
  <c r="Z171" i="30" s="1"/>
  <c r="Q171" i="30"/>
  <c r="R171" i="30" s="1"/>
  <c r="Q188" i="30"/>
  <c r="R188" i="30" s="1"/>
  <c r="O188" i="30"/>
  <c r="Z188" i="30" s="1"/>
  <c r="O354" i="30"/>
  <c r="Z354" i="30" s="1"/>
  <c r="Q354" i="30"/>
  <c r="R354" i="30" s="1"/>
  <c r="Q377" i="30"/>
  <c r="R377" i="30" s="1"/>
  <c r="O377" i="30"/>
  <c r="Z377" i="30" s="1"/>
  <c r="O368" i="30"/>
  <c r="Z368" i="30" s="1"/>
  <c r="Q368" i="30"/>
  <c r="R368" i="30" s="1"/>
  <c r="Q375" i="30"/>
  <c r="R375" i="30" s="1"/>
  <c r="O375" i="30"/>
  <c r="Z375" i="30" s="1"/>
  <c r="O161" i="30"/>
  <c r="Z161" i="30" s="1"/>
  <c r="Q161" i="30"/>
  <c r="R161" i="30" s="1"/>
  <c r="Q92" i="30"/>
  <c r="R92" i="30" s="1"/>
  <c r="O92" i="30"/>
  <c r="Z92" i="30" s="1"/>
  <c r="Q187" i="30"/>
  <c r="R187" i="30" s="1"/>
  <c r="O187" i="30"/>
  <c r="Z187" i="30" s="1"/>
  <c r="Q95" i="30"/>
  <c r="R95" i="30" s="1"/>
  <c r="O95" i="30"/>
  <c r="Z95" i="30" s="1"/>
  <c r="O155" i="30"/>
  <c r="Z155" i="30" s="1"/>
  <c r="Q155" i="30"/>
  <c r="R155" i="30" s="1"/>
  <c r="Q227" i="30"/>
  <c r="R227" i="30" s="1"/>
  <c r="O227" i="30"/>
  <c r="Z227" i="30" s="1"/>
  <c r="Q85" i="30"/>
  <c r="R85" i="30" s="1"/>
  <c r="O85" i="30"/>
  <c r="Z85" i="30" s="1"/>
  <c r="O149" i="30"/>
  <c r="Z149" i="30" s="1"/>
  <c r="Q149" i="30"/>
  <c r="R149" i="30" s="1"/>
  <c r="Q80" i="30"/>
  <c r="R80" i="30" s="1"/>
  <c r="O80" i="30"/>
  <c r="Z80" i="30" s="1"/>
  <c r="Q232" i="30"/>
  <c r="R232" i="30" s="1"/>
  <c r="O232" i="30"/>
  <c r="Z232" i="30" s="1"/>
  <c r="O94" i="30"/>
  <c r="Z94" i="30" s="1"/>
  <c r="Q94" i="30"/>
  <c r="R94" i="30" s="1"/>
  <c r="O138" i="30"/>
  <c r="Z138" i="30" s="1"/>
  <c r="Q138" i="30"/>
  <c r="R138" i="30" s="1"/>
  <c r="Q179" i="30"/>
  <c r="R179" i="30" s="1"/>
  <c r="O179" i="30"/>
  <c r="Z179" i="30" s="1"/>
  <c r="O234" i="30"/>
  <c r="Z234" i="30" s="1"/>
  <c r="Q234" i="30"/>
  <c r="R234" i="30" s="1"/>
  <c r="Q143" i="30"/>
  <c r="R143" i="30" s="1"/>
  <c r="S143" i="30" s="1"/>
  <c r="O143" i="30"/>
  <c r="Q363" i="30"/>
  <c r="R363" i="30" s="1"/>
  <c r="O363" i="30"/>
  <c r="Z363" i="30" s="1"/>
  <c r="O362" i="30"/>
  <c r="Z362" i="30" s="1"/>
  <c r="Q362" i="30"/>
  <c r="R362" i="30" s="1"/>
  <c r="Q360" i="30"/>
  <c r="R360" i="30" s="1"/>
  <c r="O360" i="30"/>
  <c r="Z360" i="30" s="1"/>
  <c r="Q379" i="30"/>
  <c r="R379" i="30" s="1"/>
  <c r="O379" i="30"/>
  <c r="Z379" i="30" s="1"/>
  <c r="O196" i="30"/>
  <c r="Z196" i="30" s="1"/>
  <c r="Q196" i="30"/>
  <c r="R196" i="30" s="1"/>
  <c r="O108" i="30"/>
  <c r="Z108" i="30" s="1"/>
  <c r="Q108" i="30"/>
  <c r="R108" i="30" s="1"/>
  <c r="O199" i="30"/>
  <c r="Z199" i="30" s="1"/>
  <c r="Q199" i="30"/>
  <c r="R199" i="30" s="1"/>
  <c r="Q111" i="30"/>
  <c r="R111" i="30" s="1"/>
  <c r="O111" i="30"/>
  <c r="Z111" i="30" s="1"/>
  <c r="Q176" i="30"/>
  <c r="R176" i="30" s="1"/>
  <c r="O176" i="30"/>
  <c r="Z176" i="30" s="1"/>
  <c r="Q231" i="30"/>
  <c r="R231" i="30" s="1"/>
  <c r="O231" i="30"/>
  <c r="Z231" i="30" s="1"/>
  <c r="Q93" i="30"/>
  <c r="R93" i="30" s="1"/>
  <c r="O93" i="30"/>
  <c r="Z93" i="30" s="1"/>
  <c r="O178" i="30"/>
  <c r="Z178" i="30" s="1"/>
  <c r="Q178" i="30"/>
  <c r="R178" i="30" s="1"/>
  <c r="Q104" i="30"/>
  <c r="R104" i="30" s="1"/>
  <c r="O104" i="30"/>
  <c r="Z104" i="30" s="1"/>
  <c r="Q83" i="30"/>
  <c r="R83" i="30" s="1"/>
  <c r="O83" i="30"/>
  <c r="Z83" i="30" s="1"/>
  <c r="Q110" i="30"/>
  <c r="R110" i="30" s="1"/>
  <c r="O110" i="30"/>
  <c r="Z110" i="30" s="1"/>
  <c r="Q150" i="30"/>
  <c r="R150" i="30" s="1"/>
  <c r="O150" i="30"/>
  <c r="Z150" i="30" s="1"/>
  <c r="Q185" i="30"/>
  <c r="R185" i="30" s="1"/>
  <c r="O185" i="30"/>
  <c r="Z185" i="30" s="1"/>
  <c r="O157" i="30"/>
  <c r="Q157" i="30"/>
  <c r="R157" i="30" s="1"/>
  <c r="S157" i="30" s="1"/>
  <c r="Q141" i="30"/>
  <c r="R141" i="30" s="1"/>
  <c r="S141" i="30" s="1"/>
  <c r="O141" i="30"/>
  <c r="O369" i="30"/>
  <c r="Z369" i="30" s="1"/>
  <c r="Q369" i="30"/>
  <c r="R369" i="30" s="1"/>
  <c r="O370" i="30"/>
  <c r="Z370" i="30" s="1"/>
  <c r="Q370" i="30"/>
  <c r="R370" i="30" s="1"/>
  <c r="O361" i="30"/>
  <c r="Z361" i="30" s="1"/>
  <c r="Q361" i="30"/>
  <c r="R361" i="30" s="1"/>
  <c r="Q73" i="30"/>
  <c r="R73" i="30" s="1"/>
  <c r="O73" i="30"/>
  <c r="Z73" i="30" s="1"/>
  <c r="Q84" i="30"/>
  <c r="R84" i="30" s="1"/>
  <c r="O84" i="30"/>
  <c r="Z84" i="30" s="1"/>
  <c r="O112" i="30"/>
  <c r="Z112" i="30" s="1"/>
  <c r="Q112" i="30"/>
  <c r="R112" i="30" s="1"/>
  <c r="Q87" i="30"/>
  <c r="R87" i="30" s="1"/>
  <c r="O87" i="30"/>
  <c r="Z87" i="30" s="1"/>
  <c r="O131" i="30"/>
  <c r="Z131" i="30" s="1"/>
  <c r="Q131" i="30"/>
  <c r="R131" i="30" s="1"/>
  <c r="O186" i="30"/>
  <c r="Z186" i="30" s="1"/>
  <c r="Q186" i="30"/>
  <c r="R186" i="30" s="1"/>
  <c r="Q77" i="30"/>
  <c r="R77" i="30" s="1"/>
  <c r="O77" i="30"/>
  <c r="Z77" i="30" s="1"/>
  <c r="Q101" i="30"/>
  <c r="R101" i="30" s="1"/>
  <c r="O101" i="30"/>
  <c r="Z101" i="30" s="1"/>
  <c r="Q184" i="30"/>
  <c r="R184" i="30" s="1"/>
  <c r="O184" i="30"/>
  <c r="Z184" i="30" s="1"/>
  <c r="O132" i="30"/>
  <c r="Z132" i="30" s="1"/>
  <c r="Q132" i="30"/>
  <c r="R132" i="30" s="1"/>
  <c r="Q78" i="30"/>
  <c r="R78" i="30" s="1"/>
  <c r="O78" i="30"/>
  <c r="Z78" i="30" s="1"/>
  <c r="Q118" i="30"/>
  <c r="R118" i="30" s="1"/>
  <c r="O118" i="30"/>
  <c r="Z118" i="30" s="1"/>
  <c r="Q162" i="30"/>
  <c r="R162" i="30" s="1"/>
  <c r="O162" i="30"/>
  <c r="Z162" i="30" s="1"/>
  <c r="Q201" i="30"/>
  <c r="R201" i="30" s="1"/>
  <c r="O201" i="30"/>
  <c r="Z201" i="30" s="1"/>
  <c r="O140" i="30"/>
  <c r="Q140" i="30"/>
  <c r="R140" i="30" s="1"/>
  <c r="S140" i="30" s="1"/>
  <c r="O142" i="30"/>
  <c r="Q142" i="30"/>
  <c r="R142" i="30" s="1"/>
  <c r="S142" i="30" s="1"/>
  <c r="O373" i="30"/>
  <c r="Z373" i="30" s="1"/>
  <c r="Q373" i="30"/>
  <c r="R373" i="30" s="1"/>
  <c r="Q374" i="30"/>
  <c r="R374" i="30" s="1"/>
  <c r="O374" i="30"/>
  <c r="Z374" i="30" s="1"/>
  <c r="O371" i="30"/>
  <c r="Z371" i="30" s="1"/>
  <c r="Q371" i="30"/>
  <c r="R371" i="30" s="1"/>
  <c r="Q117" i="30"/>
  <c r="R117" i="30" s="1"/>
  <c r="O117" i="30"/>
  <c r="Z117" i="30" s="1"/>
  <c r="Q88" i="30"/>
  <c r="R88" i="30" s="1"/>
  <c r="O88" i="30"/>
  <c r="Z88" i="30" s="1"/>
  <c r="Q177" i="30"/>
  <c r="R177" i="30" s="1"/>
  <c r="O177" i="30"/>
  <c r="Z177" i="30" s="1"/>
  <c r="Q91" i="30"/>
  <c r="R91" i="30" s="1"/>
  <c r="O91" i="30"/>
  <c r="Z91" i="30" s="1"/>
  <c r="O139" i="30"/>
  <c r="Z139" i="30" s="1"/>
  <c r="Q139" i="30"/>
  <c r="R139" i="30" s="1"/>
  <c r="Q202" i="30"/>
  <c r="R202" i="30" s="1"/>
  <c r="O202" i="30"/>
  <c r="Z202" i="30" s="1"/>
  <c r="O81" i="30"/>
  <c r="Z81" i="30" s="1"/>
  <c r="Q81" i="30"/>
  <c r="R81" i="30" s="1"/>
  <c r="O109" i="30"/>
  <c r="Z109" i="30" s="1"/>
  <c r="Q109" i="30"/>
  <c r="R109" i="30" s="1"/>
  <c r="Q200" i="30"/>
  <c r="R200" i="30" s="1"/>
  <c r="O200" i="30"/>
  <c r="Z200" i="30" s="1"/>
  <c r="O228" i="30"/>
  <c r="Z228" i="30" s="1"/>
  <c r="Q228" i="30"/>
  <c r="R228" i="30" s="1"/>
  <c r="O86" i="30"/>
  <c r="Z86" i="30" s="1"/>
  <c r="Q86" i="30"/>
  <c r="R86" i="30" s="1"/>
  <c r="Q130" i="30"/>
  <c r="R130" i="30" s="1"/>
  <c r="O130" i="30"/>
  <c r="Z130" i="30" s="1"/>
  <c r="Q175" i="30"/>
  <c r="R175" i="30" s="1"/>
  <c r="O175" i="30"/>
  <c r="Z175" i="30" s="1"/>
  <c r="O230" i="30"/>
  <c r="Z230" i="30" s="1"/>
  <c r="Q230" i="30"/>
  <c r="R230" i="30" s="1"/>
  <c r="Q156" i="30"/>
  <c r="R156" i="30" s="1"/>
  <c r="S156" i="30" s="1"/>
  <c r="O156" i="30"/>
  <c r="O158" i="30"/>
  <c r="Q158" i="30"/>
  <c r="R158" i="30" s="1"/>
  <c r="S158" i="30" s="1"/>
  <c r="O15" i="30"/>
  <c r="Z15" i="30" s="1"/>
  <c r="Q15" i="30"/>
  <c r="R15" i="30" s="1"/>
  <c r="Q16" i="30"/>
  <c r="R16" i="30" s="1"/>
  <c r="O16" i="30"/>
  <c r="Z16" i="30" s="1"/>
  <c r="O47" i="30"/>
  <c r="Z47" i="30" s="1"/>
  <c r="Q47" i="30"/>
  <c r="R47" i="30" s="1"/>
  <c r="S47" i="30" s="1"/>
  <c r="O59" i="30"/>
  <c r="Q59" i="30"/>
  <c r="R59" i="30"/>
  <c r="S59" i="30" s="1"/>
  <c r="O46" i="30"/>
  <c r="Q46" i="30"/>
  <c r="R46" i="30" s="1"/>
  <c r="S46" i="30" s="1"/>
  <c r="O43" i="30"/>
  <c r="Q43" i="30"/>
  <c r="R43" i="30" s="1"/>
  <c r="S43" i="30" s="1"/>
  <c r="Q42" i="30"/>
  <c r="R42" i="30" s="1"/>
  <c r="S42" i="30" s="1"/>
  <c r="O42" i="30"/>
  <c r="O291" i="30"/>
  <c r="Z291" i="30" s="1"/>
  <c r="Q291" i="30"/>
  <c r="R291" i="30" s="1"/>
  <c r="S291" i="30" s="1"/>
  <c r="O267" i="30"/>
  <c r="Z267" i="30" s="1"/>
  <c r="Q267" i="30"/>
  <c r="R267" i="30" s="1"/>
  <c r="S267" i="30" s="1"/>
  <c r="O70" i="30"/>
  <c r="Z70" i="30" s="1"/>
  <c r="Q70" i="30"/>
  <c r="R70" i="30" s="1"/>
  <c r="S70" i="30" s="1"/>
  <c r="Q279" i="30"/>
  <c r="R279" i="30" s="1"/>
  <c r="S279" i="30" s="1"/>
  <c r="O279" i="30"/>
  <c r="Z279" i="30" s="1"/>
  <c r="Q318" i="30"/>
  <c r="R318" i="30" s="1"/>
  <c r="S318" i="30" s="1"/>
  <c r="O318" i="30"/>
  <c r="Z318" i="30" s="1"/>
  <c r="O253" i="30"/>
  <c r="Z253" i="30" s="1"/>
  <c r="Q253" i="30"/>
  <c r="R253" i="30" s="1"/>
  <c r="S253" i="30" s="1"/>
  <c r="O327" i="30"/>
  <c r="Z327" i="30" s="1"/>
  <c r="Q327" i="30"/>
  <c r="R327" i="30" s="1"/>
  <c r="S327" i="30" s="1"/>
  <c r="O304" i="30"/>
  <c r="Z304" i="30" s="1"/>
  <c r="Q304" i="30"/>
  <c r="R304" i="30" s="1"/>
  <c r="S304" i="30" s="1"/>
  <c r="O244" i="30"/>
  <c r="Z244" i="30" s="1"/>
  <c r="Q244" i="30"/>
  <c r="R244" i="30" s="1"/>
  <c r="S244" i="30" s="1"/>
  <c r="Q285" i="30"/>
  <c r="R285" i="30" s="1"/>
  <c r="S285" i="30" s="1"/>
  <c r="O285" i="30"/>
  <c r="Z285" i="30" s="1"/>
  <c r="O309" i="30"/>
  <c r="Z309" i="30" s="1"/>
  <c r="Q309" i="30"/>
  <c r="R309" i="30" s="1"/>
  <c r="S309" i="30" s="1"/>
  <c r="O301" i="30"/>
  <c r="Z301" i="30" s="1"/>
  <c r="Q301" i="30"/>
  <c r="R301" i="30" s="1"/>
  <c r="S301" i="30" s="1"/>
  <c r="O351" i="30"/>
  <c r="Z351" i="30" s="1"/>
  <c r="Q351" i="30"/>
  <c r="R351" i="30" s="1"/>
  <c r="S351" i="30" s="1"/>
  <c r="O248" i="30"/>
  <c r="Z248" i="30" s="1"/>
  <c r="Q248" i="30"/>
  <c r="R248" i="30" s="1"/>
  <c r="S248" i="30" s="1"/>
  <c r="O339" i="30"/>
  <c r="Z339" i="30" s="1"/>
  <c r="Q339" i="30"/>
  <c r="R339" i="30" s="1"/>
  <c r="S339" i="30" s="1"/>
  <c r="O341" i="30"/>
  <c r="Z341" i="30" s="1"/>
  <c r="Q341" i="30"/>
  <c r="R341" i="30" s="1"/>
  <c r="S341" i="30" s="1"/>
  <c r="Q332" i="30"/>
  <c r="R332" i="30" s="1"/>
  <c r="S332" i="30" s="1"/>
  <c r="O332" i="30"/>
  <c r="Z332" i="30" s="1"/>
  <c r="O340" i="30"/>
  <c r="Z340" i="30" s="1"/>
  <c r="Q340" i="30"/>
  <c r="R340" i="30" s="1"/>
  <c r="S340" i="30" s="1"/>
  <c r="O311" i="30"/>
  <c r="Z311" i="30" s="1"/>
  <c r="Q311" i="30"/>
  <c r="R311" i="30" s="1"/>
  <c r="S311" i="30" s="1"/>
  <c r="O52" i="30"/>
  <c r="Q52" i="30"/>
  <c r="R52" i="30" s="1"/>
  <c r="S52" i="30" s="1"/>
  <c r="Q56" i="30"/>
  <c r="R56" i="30" s="1"/>
  <c r="S56" i="30" s="1"/>
  <c r="O56" i="30"/>
  <c r="Z56" i="30" s="1"/>
  <c r="R404" i="30"/>
  <c r="S404" i="30" s="1"/>
  <c r="Q404" i="30"/>
  <c r="O404" i="30"/>
  <c r="Z404" i="30" s="1"/>
  <c r="O61" i="30"/>
  <c r="Q61" i="30"/>
  <c r="R61" i="30" s="1"/>
  <c r="S61" i="30" s="1"/>
  <c r="O44" i="30"/>
  <c r="Q44" i="30"/>
  <c r="R44" i="30" s="1"/>
  <c r="S44" i="30" s="1"/>
  <c r="O53" i="30"/>
  <c r="Q53" i="30"/>
  <c r="R53" i="30" s="1"/>
  <c r="S53" i="30" s="1"/>
  <c r="Q67" i="30"/>
  <c r="R67" i="30" s="1"/>
  <c r="S67" i="30" s="1"/>
  <c r="O67" i="30"/>
  <c r="Z67" i="30" s="1"/>
  <c r="O276" i="30"/>
  <c r="Z276" i="30" s="1"/>
  <c r="Q276" i="30"/>
  <c r="R276" i="30" s="1"/>
  <c r="S276" i="30" s="1"/>
  <c r="O303" i="30"/>
  <c r="Z303" i="30" s="1"/>
  <c r="Q303" i="30"/>
  <c r="R303" i="30" s="1"/>
  <c r="S303" i="30" s="1"/>
  <c r="Q250" i="30"/>
  <c r="R250" i="30" s="1"/>
  <c r="S250" i="30" s="1"/>
  <c r="O250" i="30"/>
  <c r="Z250" i="30" s="1"/>
  <c r="O292" i="30"/>
  <c r="Z292" i="30" s="1"/>
  <c r="Q292" i="30"/>
  <c r="R292" i="30" s="1"/>
  <c r="S292" i="30" s="1"/>
  <c r="O320" i="30"/>
  <c r="Z320" i="30" s="1"/>
  <c r="Q320" i="30"/>
  <c r="R320" i="30" s="1"/>
  <c r="S320" i="30" s="1"/>
  <c r="O237" i="30"/>
  <c r="Z237" i="30" s="1"/>
  <c r="Q237" i="30"/>
  <c r="R237" i="30" s="1"/>
  <c r="S237" i="30" s="1"/>
  <c r="O247" i="30"/>
  <c r="Z247" i="30" s="1"/>
  <c r="Q247" i="30"/>
  <c r="R247" i="30" s="1"/>
  <c r="S247" i="30" s="1"/>
  <c r="O268" i="30"/>
  <c r="Z268" i="30" s="1"/>
  <c r="Q268" i="30"/>
  <c r="R268" i="30" s="1"/>
  <c r="S268" i="30" s="1"/>
  <c r="Q294" i="30"/>
  <c r="R294" i="30" s="1"/>
  <c r="S294" i="30" s="1"/>
  <c r="O294" i="30"/>
  <c r="Z294" i="30" s="1"/>
  <c r="Q322" i="30"/>
  <c r="R322" i="30" s="1"/>
  <c r="S322" i="30" s="1"/>
  <c r="O322" i="30"/>
  <c r="Z322" i="30" s="1"/>
  <c r="Q258" i="30"/>
  <c r="R258" i="30" s="1"/>
  <c r="S258" i="30" s="1"/>
  <c r="O258" i="30"/>
  <c r="Z258" i="30" s="1"/>
  <c r="Q273" i="30"/>
  <c r="R273" i="30" s="1"/>
  <c r="S273" i="30" s="1"/>
  <c r="O273" i="30"/>
  <c r="Z273" i="30" s="1"/>
  <c r="O299" i="30"/>
  <c r="Z299" i="30" s="1"/>
  <c r="Q299" i="30"/>
  <c r="R299" i="30" s="1"/>
  <c r="S299" i="30" s="1"/>
  <c r="O64" i="30"/>
  <c r="Z64" i="30" s="1"/>
  <c r="Q64" i="30"/>
  <c r="R64" i="30" s="1"/>
  <c r="S64" i="30" s="1"/>
  <c r="O261" i="30"/>
  <c r="Z261" i="30" s="1"/>
  <c r="Q261" i="30"/>
  <c r="R261" i="30" s="1"/>
  <c r="S261" i="30" s="1"/>
  <c r="Q316" i="30"/>
  <c r="R316" i="30" s="1"/>
  <c r="S316" i="30" s="1"/>
  <c r="O316" i="30"/>
  <c r="Z316" i="30" s="1"/>
  <c r="O236" i="30"/>
  <c r="Z236" i="30" s="1"/>
  <c r="Q236" i="30"/>
  <c r="R236" i="30" s="1"/>
  <c r="S236" i="30" s="1"/>
  <c r="O251" i="30"/>
  <c r="Z251" i="30" s="1"/>
  <c r="Q251" i="30"/>
  <c r="R251" i="30" s="1"/>
  <c r="S251" i="30" s="1"/>
  <c r="Q274" i="30"/>
  <c r="R274" i="30" s="1"/>
  <c r="S274" i="30" s="1"/>
  <c r="O274" i="30"/>
  <c r="Z274" i="30" s="1"/>
  <c r="O293" i="30"/>
  <c r="Z293" i="30" s="1"/>
  <c r="Q293" i="30"/>
  <c r="R293" i="30" s="1"/>
  <c r="S293" i="30" s="1"/>
  <c r="O317" i="30"/>
  <c r="Z317" i="30" s="1"/>
  <c r="Q317" i="30"/>
  <c r="R317" i="30" s="1"/>
  <c r="S317" i="30" s="1"/>
  <c r="O275" i="30"/>
  <c r="Z275" i="30" s="1"/>
  <c r="Q275" i="30"/>
  <c r="R275" i="30" s="1"/>
  <c r="S275" i="30" s="1"/>
  <c r="Q310" i="30"/>
  <c r="R310" i="30" s="1"/>
  <c r="S310" i="30" s="1"/>
  <c r="O310" i="30"/>
  <c r="Z310" i="30" s="1"/>
  <c r="Q348" i="30"/>
  <c r="R348" i="30" s="1"/>
  <c r="S348" i="30" s="1"/>
  <c r="O348" i="30"/>
  <c r="Z348" i="30" s="1"/>
  <c r="O269" i="30"/>
  <c r="Z269" i="30" s="1"/>
  <c r="Q269" i="30"/>
  <c r="R269" i="30" s="1"/>
  <c r="S269" i="30" s="1"/>
  <c r="O343" i="30"/>
  <c r="Z343" i="30" s="1"/>
  <c r="Q343" i="30"/>
  <c r="R343" i="30" s="1"/>
  <c r="S343" i="30" s="1"/>
  <c r="O337" i="30"/>
  <c r="Z337" i="30" s="1"/>
  <c r="Q337" i="30"/>
  <c r="R337" i="30" s="1"/>
  <c r="S337" i="30" s="1"/>
  <c r="O345" i="30"/>
  <c r="Z345" i="30" s="1"/>
  <c r="Q345" i="30"/>
  <c r="R345" i="30" s="1"/>
  <c r="S345" i="30" s="1"/>
  <c r="Q334" i="30"/>
  <c r="R334" i="30" s="1"/>
  <c r="S334" i="30" s="1"/>
  <c r="O334" i="30"/>
  <c r="Z334" i="30" s="1"/>
  <c r="Q342" i="30"/>
  <c r="R342" i="30" s="1"/>
  <c r="S342" i="30" s="1"/>
  <c r="O342" i="30"/>
  <c r="Z342" i="30" s="1"/>
  <c r="O313" i="30"/>
  <c r="Z313" i="30" s="1"/>
  <c r="Q313" i="30"/>
  <c r="R313" i="30" s="1"/>
  <c r="S313" i="30" s="1"/>
  <c r="Q60" i="30"/>
  <c r="R60" i="30" s="1"/>
  <c r="S60" i="30" s="1"/>
  <c r="O60" i="30"/>
  <c r="O284" i="30"/>
  <c r="Z284" i="30" s="1"/>
  <c r="Q284" i="30"/>
  <c r="R284" i="30" s="1"/>
  <c r="S284" i="30" s="1"/>
  <c r="O58" i="30"/>
  <c r="Q58" i="30"/>
  <c r="R58" i="30" s="1"/>
  <c r="S58" i="30" s="1"/>
  <c r="O63" i="30"/>
  <c r="Q63" i="30"/>
  <c r="R63" i="30" s="1"/>
  <c r="S63" i="30" s="1"/>
  <c r="O49" i="30"/>
  <c r="Q49" i="30"/>
  <c r="R49" i="30" s="1"/>
  <c r="S49" i="30" s="1"/>
  <c r="O242" i="30"/>
  <c r="Z242" i="30" s="1"/>
  <c r="Q242" i="30"/>
  <c r="R242" i="30" s="1"/>
  <c r="S242" i="30" s="1"/>
  <c r="O331" i="30"/>
  <c r="Z331" i="30" s="1"/>
  <c r="Q331" i="30"/>
  <c r="R331" i="30" s="1"/>
  <c r="S331" i="30" s="1"/>
  <c r="O308" i="30"/>
  <c r="Z308" i="30" s="1"/>
  <c r="Q308" i="30"/>
  <c r="R308" i="30" s="1"/>
  <c r="S308" i="30" s="1"/>
  <c r="O245" i="30"/>
  <c r="Z245" i="30" s="1"/>
  <c r="Q245" i="30"/>
  <c r="R245" i="30" s="1"/>
  <c r="S245" i="30" s="1"/>
  <c r="O286" i="30"/>
  <c r="Z286" i="30" s="1"/>
  <c r="Q286" i="30"/>
  <c r="R286" i="30" s="1"/>
  <c r="S286" i="30" s="1"/>
  <c r="Q350" i="30"/>
  <c r="R350" i="30" s="1"/>
  <c r="S350" i="30" s="1"/>
  <c r="O350" i="30"/>
  <c r="Z350" i="30" s="1"/>
  <c r="O295" i="30"/>
  <c r="Z295" i="30" s="1"/>
  <c r="Q295" i="30"/>
  <c r="R295" i="30" s="1"/>
  <c r="S295" i="30" s="1"/>
  <c r="O259" i="30"/>
  <c r="Z259" i="30" s="1"/>
  <c r="Q259" i="30"/>
  <c r="R259" i="30" s="1"/>
  <c r="S259" i="30" s="1"/>
  <c r="O65" i="30"/>
  <c r="Z65" i="30" s="1"/>
  <c r="Q65" i="30"/>
  <c r="R65" i="30" s="1"/>
  <c r="S65" i="30" s="1"/>
  <c r="O278" i="30"/>
  <c r="Z278" i="30" s="1"/>
  <c r="Q278" i="30"/>
  <c r="R278" i="30" s="1"/>
  <c r="S278" i="30" s="1"/>
  <c r="O314" i="30"/>
  <c r="Z314" i="30" s="1"/>
  <c r="Q314" i="30"/>
  <c r="R314" i="30" s="1"/>
  <c r="S314" i="30" s="1"/>
  <c r="O51" i="30"/>
  <c r="Z51" i="30" s="1"/>
  <c r="Q51" i="30"/>
  <c r="R51" i="30" s="1"/>
  <c r="S51" i="30" s="1"/>
  <c r="O50" i="30"/>
  <c r="Z50" i="30" s="1"/>
  <c r="Q50" i="30"/>
  <c r="R50" i="30" s="1"/>
  <c r="S50" i="30" s="1"/>
  <c r="Q48" i="30"/>
  <c r="R48" i="30" s="1"/>
  <c r="S48" i="30" s="1"/>
  <c r="O48" i="30"/>
  <c r="O62" i="30"/>
  <c r="Q62" i="30"/>
  <c r="R62" i="30" s="1"/>
  <c r="S62" i="30" s="1"/>
  <c r="Q54" i="30"/>
  <c r="R54" i="30" s="1"/>
  <c r="S54" i="30" s="1"/>
  <c r="O54" i="30"/>
  <c r="O353" i="30"/>
  <c r="Z353" i="30" s="1"/>
  <c r="Q353" i="30"/>
  <c r="R353" i="30" s="1"/>
  <c r="S353" i="30" s="1"/>
  <c r="O71" i="30"/>
  <c r="Z71" i="30" s="1"/>
  <c r="Q71" i="30"/>
  <c r="R71" i="30" s="1"/>
  <c r="S71" i="30" s="1"/>
  <c r="O262" i="30"/>
  <c r="Z262" i="30" s="1"/>
  <c r="Q262" i="30"/>
  <c r="R262" i="30" s="1"/>
  <c r="S262" i="30" s="1"/>
  <c r="O307" i="30"/>
  <c r="Z307" i="30" s="1"/>
  <c r="Q307" i="30"/>
  <c r="R307" i="30" s="1"/>
  <c r="S307" i="30" s="1"/>
  <c r="O254" i="30"/>
  <c r="Z254" i="30" s="1"/>
  <c r="Q254" i="30"/>
  <c r="R254" i="30" s="1"/>
  <c r="S254" i="30" s="1"/>
  <c r="O296" i="30"/>
  <c r="Z296" i="30" s="1"/>
  <c r="Q296" i="30"/>
  <c r="R296" i="30" s="1"/>
  <c r="S296" i="30" s="1"/>
  <c r="Q69" i="30"/>
  <c r="R69" i="30" s="1"/>
  <c r="S69" i="30" s="1"/>
  <c r="O69" i="30"/>
  <c r="Z69" i="30" s="1"/>
  <c r="O241" i="30"/>
  <c r="Z241" i="30" s="1"/>
  <c r="Q241" i="30"/>
  <c r="R241" i="30" s="1"/>
  <c r="S241" i="30" s="1"/>
  <c r="Q252" i="30"/>
  <c r="R252" i="30" s="1"/>
  <c r="S252" i="30" s="1"/>
  <c r="O252" i="30"/>
  <c r="Z252" i="30" s="1"/>
  <c r="O263" i="30"/>
  <c r="Z263" i="30" s="1"/>
  <c r="Q263" i="30"/>
  <c r="R263" i="30" s="1"/>
  <c r="S263" i="30" s="1"/>
  <c r="O298" i="30"/>
  <c r="Z298" i="30" s="1"/>
  <c r="Q298" i="30"/>
  <c r="R298" i="30" s="1"/>
  <c r="S298" i="30" s="1"/>
  <c r="Q326" i="30"/>
  <c r="R326" i="30" s="1"/>
  <c r="S326" i="30" s="1"/>
  <c r="O326" i="30"/>
  <c r="Z326" i="30" s="1"/>
  <c r="O260" i="30"/>
  <c r="Z260" i="30" s="1"/>
  <c r="Q260" i="30"/>
  <c r="R260" i="30" s="1"/>
  <c r="S260" i="30" s="1"/>
  <c r="O282" i="30"/>
  <c r="Z282" i="30" s="1"/>
  <c r="Q282" i="30"/>
  <c r="R282" i="30" s="1"/>
  <c r="S282" i="30" s="1"/>
  <c r="Q315" i="30"/>
  <c r="R315" i="30" s="1"/>
  <c r="S315" i="30" s="1"/>
  <c r="O315" i="30"/>
  <c r="Z315" i="30" s="1"/>
  <c r="O68" i="30"/>
  <c r="Z68" i="30" s="1"/>
  <c r="Q68" i="30"/>
  <c r="R68" i="30" s="1"/>
  <c r="S68" i="30" s="1"/>
  <c r="Q265" i="30"/>
  <c r="R265" i="30" s="1"/>
  <c r="S265" i="30" s="1"/>
  <c r="O265" i="30"/>
  <c r="Z265" i="30" s="1"/>
  <c r="O324" i="30"/>
  <c r="Z324" i="30" s="1"/>
  <c r="Q324" i="30"/>
  <c r="R324" i="30" s="1"/>
  <c r="S324" i="30" s="1"/>
  <c r="O240" i="30"/>
  <c r="Z240" i="30" s="1"/>
  <c r="Q240" i="30"/>
  <c r="R240" i="30" s="1"/>
  <c r="S240" i="30" s="1"/>
  <c r="Q255" i="30"/>
  <c r="R255" i="30" s="1"/>
  <c r="S255" i="30" s="1"/>
  <c r="O255" i="30"/>
  <c r="Z255" i="30" s="1"/>
  <c r="Q266" i="30"/>
  <c r="R266" i="30" s="1"/>
  <c r="S266" i="30" s="1"/>
  <c r="O266" i="30"/>
  <c r="Z266" i="30" s="1"/>
  <c r="Q297" i="30"/>
  <c r="R297" i="30" s="1"/>
  <c r="S297" i="30" s="1"/>
  <c r="O297" i="30"/>
  <c r="Z297" i="30" s="1"/>
  <c r="O325" i="30"/>
  <c r="Z325" i="30" s="1"/>
  <c r="Q325" i="30"/>
  <c r="R325" i="30" s="1"/>
  <c r="S325" i="30" s="1"/>
  <c r="Q243" i="30"/>
  <c r="R243" i="30" s="1"/>
  <c r="S243" i="30" s="1"/>
  <c r="O243" i="30"/>
  <c r="Z243" i="30" s="1"/>
  <c r="Q288" i="30"/>
  <c r="R288" i="30" s="1"/>
  <c r="S288" i="30" s="1"/>
  <c r="O288" i="30"/>
  <c r="Z288" i="30" s="1"/>
  <c r="O246" i="30"/>
  <c r="Z246" i="30" s="1"/>
  <c r="Q246" i="30"/>
  <c r="R246" i="30" s="1"/>
  <c r="S246" i="30" s="1"/>
  <c r="O290" i="30"/>
  <c r="Z290" i="30" s="1"/>
  <c r="Q290" i="30"/>
  <c r="R290" i="30" s="1"/>
  <c r="S290" i="30" s="1"/>
  <c r="O349" i="30"/>
  <c r="Z349" i="30" s="1"/>
  <c r="Q349" i="30"/>
  <c r="R349" i="30" s="1"/>
  <c r="S349" i="30" s="1"/>
  <c r="Q270" i="30"/>
  <c r="R270" i="30" s="1"/>
  <c r="S270" i="30" s="1"/>
  <c r="O270" i="30"/>
  <c r="Z270" i="30" s="1"/>
  <c r="O347" i="30"/>
  <c r="Z347" i="30" s="1"/>
  <c r="Q347" i="30"/>
  <c r="R347" i="30" s="1"/>
  <c r="S347" i="30" s="1"/>
  <c r="O336" i="30"/>
  <c r="Z336" i="30" s="1"/>
  <c r="Q336" i="30"/>
  <c r="R336" i="30" s="1"/>
  <c r="S336" i="30" s="1"/>
  <c r="O344" i="30"/>
  <c r="Z344" i="30" s="1"/>
  <c r="Q344" i="30"/>
  <c r="R344" i="30" s="1"/>
  <c r="S344" i="30" s="1"/>
  <c r="O45" i="30"/>
  <c r="Q45" i="30"/>
  <c r="R45" i="30" s="1"/>
  <c r="S45" i="30" s="1"/>
  <c r="Q57" i="30"/>
  <c r="R57" i="30" s="1"/>
  <c r="S57" i="30" s="1"/>
  <c r="O57" i="30"/>
  <c r="Q55" i="30"/>
  <c r="R55" i="30" s="1"/>
  <c r="S55" i="30" s="1"/>
  <c r="O55" i="30"/>
  <c r="O352" i="30"/>
  <c r="Z352" i="30" s="1"/>
  <c r="Q352" i="30"/>
  <c r="R352" i="30" s="1"/>
  <c r="S352" i="30" s="1"/>
  <c r="O238" i="30"/>
  <c r="Z238" i="30" s="1"/>
  <c r="Q238" i="30"/>
  <c r="R238" i="30" s="1"/>
  <c r="S238" i="30" s="1"/>
  <c r="O264" i="30"/>
  <c r="Z264" i="30" s="1"/>
  <c r="Q264" i="30"/>
  <c r="R264" i="30" s="1"/>
  <c r="S264" i="30" s="1"/>
  <c r="O319" i="30"/>
  <c r="Z319" i="30" s="1"/>
  <c r="Q319" i="30"/>
  <c r="R319" i="30" s="1"/>
  <c r="S319" i="30" s="1"/>
  <c r="O277" i="30"/>
  <c r="Z277" i="30" s="1"/>
  <c r="Q277" i="30"/>
  <c r="R277" i="30" s="1"/>
  <c r="S277" i="30" s="1"/>
  <c r="Q300" i="30"/>
  <c r="R300" i="30" s="1"/>
  <c r="S300" i="30" s="1"/>
  <c r="O300" i="30"/>
  <c r="Z300" i="30" s="1"/>
  <c r="Q66" i="30"/>
  <c r="R66" i="30" s="1"/>
  <c r="S66" i="30" s="1"/>
  <c r="O66" i="30"/>
  <c r="Z66" i="30" s="1"/>
  <c r="O257" i="30"/>
  <c r="Z257" i="30" s="1"/>
  <c r="Q257" i="30"/>
  <c r="R257" i="30" s="1"/>
  <c r="S257" i="30" s="1"/>
  <c r="O272" i="30"/>
  <c r="Z272" i="30" s="1"/>
  <c r="Q272" i="30"/>
  <c r="R272" i="30" s="1"/>
  <c r="S272" i="30" s="1"/>
  <c r="O281" i="30"/>
  <c r="Z281" i="30" s="1"/>
  <c r="Q281" i="30"/>
  <c r="R281" i="30" s="1"/>
  <c r="S281" i="30" s="1"/>
  <c r="Q306" i="30"/>
  <c r="R306" i="30" s="1"/>
  <c r="S306" i="30" s="1"/>
  <c r="O306" i="30"/>
  <c r="Z306" i="30" s="1"/>
  <c r="O330" i="30"/>
  <c r="Z330" i="30" s="1"/>
  <c r="Q330" i="30"/>
  <c r="R330" i="30" s="1"/>
  <c r="S330" i="30" s="1"/>
  <c r="Q249" i="30"/>
  <c r="R249" i="30" s="1"/>
  <c r="S249" i="30" s="1"/>
  <c r="O249" i="30"/>
  <c r="Z249" i="30" s="1"/>
  <c r="O287" i="30"/>
  <c r="Z287" i="30" s="1"/>
  <c r="Q287" i="30"/>
  <c r="R287" i="30" s="1"/>
  <c r="S287" i="30" s="1"/>
  <c r="O323" i="30"/>
  <c r="Z323" i="30" s="1"/>
  <c r="Q323" i="30"/>
  <c r="R323" i="30" s="1"/>
  <c r="S323" i="30" s="1"/>
  <c r="O239" i="30"/>
  <c r="Z239" i="30" s="1"/>
  <c r="Q239" i="30"/>
  <c r="R239" i="30" s="1"/>
  <c r="S239" i="30" s="1"/>
  <c r="O283" i="30"/>
  <c r="Z283" i="30" s="1"/>
  <c r="Q283" i="30"/>
  <c r="R283" i="30" s="1"/>
  <c r="S283" i="30" s="1"/>
  <c r="O328" i="30"/>
  <c r="Z328" i="30" s="1"/>
  <c r="Q328" i="30"/>
  <c r="R328" i="30" s="1"/>
  <c r="S328" i="30" s="1"/>
  <c r="O256" i="30"/>
  <c r="Z256" i="30" s="1"/>
  <c r="Q256" i="30"/>
  <c r="R256" i="30" s="1"/>
  <c r="S256" i="30" s="1"/>
  <c r="Q271" i="30"/>
  <c r="R271" i="30" s="1"/>
  <c r="S271" i="30" s="1"/>
  <c r="O271" i="30"/>
  <c r="Z271" i="30" s="1"/>
  <c r="O280" i="30"/>
  <c r="Z280" i="30" s="1"/>
  <c r="Q280" i="30"/>
  <c r="R280" i="30" s="1"/>
  <c r="S280" i="30" s="1"/>
  <c r="O305" i="30"/>
  <c r="Z305" i="30" s="1"/>
  <c r="Q305" i="30"/>
  <c r="R305" i="30" s="1"/>
  <c r="S305" i="30" s="1"/>
  <c r="O329" i="30"/>
  <c r="Z329" i="30" s="1"/>
  <c r="Q329" i="30"/>
  <c r="R329" i="30" s="1"/>
  <c r="S329" i="30" s="1"/>
  <c r="Q302" i="30"/>
  <c r="R302" i="30" s="1"/>
  <c r="S302" i="30" s="1"/>
  <c r="O302" i="30"/>
  <c r="Z302" i="30" s="1"/>
  <c r="O235" i="30"/>
  <c r="Z235" i="30" s="1"/>
  <c r="Q235" i="30"/>
  <c r="R235" i="30" s="1"/>
  <c r="S235" i="30" s="1"/>
  <c r="O321" i="30"/>
  <c r="Z321" i="30" s="1"/>
  <c r="Q321" i="30"/>
  <c r="R321" i="30" s="1"/>
  <c r="S321" i="30" s="1"/>
  <c r="O333" i="30"/>
  <c r="Z333" i="30" s="1"/>
  <c r="Q333" i="30"/>
  <c r="R333" i="30" s="1"/>
  <c r="S333" i="30" s="1"/>
  <c r="O312" i="30"/>
  <c r="Z312" i="30" s="1"/>
  <c r="Q312" i="30"/>
  <c r="R312" i="30" s="1"/>
  <c r="S312" i="30" s="1"/>
  <c r="O335" i="30"/>
  <c r="Z335" i="30" s="1"/>
  <c r="Q335" i="30"/>
  <c r="R335" i="30" s="1"/>
  <c r="S335" i="30" s="1"/>
  <c r="O289" i="30"/>
  <c r="Z289" i="30" s="1"/>
  <c r="Q289" i="30"/>
  <c r="R289" i="30" s="1"/>
  <c r="S289" i="30" s="1"/>
  <c r="Q338" i="30"/>
  <c r="R338" i="30" s="1"/>
  <c r="S338" i="30" s="1"/>
  <c r="O338" i="30"/>
  <c r="Z338" i="30" s="1"/>
  <c r="O346" i="30"/>
  <c r="Z346" i="30" s="1"/>
  <c r="Q346" i="30"/>
  <c r="R346" i="30" s="1"/>
  <c r="S346" i="30" s="1"/>
  <c r="Q37" i="30"/>
  <c r="R37" i="30" s="1"/>
  <c r="S37" i="30" s="1"/>
  <c r="O37" i="30"/>
  <c r="Z37" i="30" s="1"/>
  <c r="Q23" i="30"/>
  <c r="R23" i="30" s="1"/>
  <c r="S23" i="30" s="1"/>
  <c r="O23" i="30"/>
  <c r="O41" i="30"/>
  <c r="Z41" i="30" s="1"/>
  <c r="Q41" i="30"/>
  <c r="R41" i="30" s="1"/>
  <c r="S41" i="30" s="1"/>
  <c r="O39" i="30"/>
  <c r="Z39" i="30" s="1"/>
  <c r="Q39" i="30"/>
  <c r="R39" i="30" s="1"/>
  <c r="S39" i="30" s="1"/>
  <c r="O32" i="30"/>
  <c r="Q32" i="30"/>
  <c r="R32" i="30" s="1"/>
  <c r="S32" i="30" s="1"/>
  <c r="O9" i="30"/>
  <c r="Q9" i="30"/>
  <c r="R9" i="30" s="1"/>
  <c r="S9" i="30" s="1"/>
  <c r="O24" i="30"/>
  <c r="Z24" i="30" s="1"/>
  <c r="Q24" i="30"/>
  <c r="R24" i="30" s="1"/>
  <c r="S24" i="30" s="1"/>
  <c r="O38" i="30"/>
  <c r="Z38" i="30" s="1"/>
  <c r="Q38" i="30"/>
  <c r="R38" i="30" s="1"/>
  <c r="S38" i="30" s="1"/>
  <c r="O21" i="30"/>
  <c r="Q21" i="30"/>
  <c r="R21" i="30" s="1"/>
  <c r="S21" i="30" s="1"/>
  <c r="Q34" i="30"/>
  <c r="R34" i="30" s="1"/>
  <c r="S34" i="30" s="1"/>
  <c r="O34" i="30"/>
  <c r="Z34" i="30" s="1"/>
  <c r="O17" i="30"/>
  <c r="Q17" i="30"/>
  <c r="R17" i="30" s="1"/>
  <c r="S17" i="30" s="1"/>
  <c r="Q22" i="30"/>
  <c r="R22" i="30" s="1"/>
  <c r="S22" i="30" s="1"/>
  <c r="O22" i="30"/>
  <c r="O11" i="30"/>
  <c r="Q11" i="30"/>
  <c r="R11" i="30" s="1"/>
  <c r="S11" i="30" s="1"/>
  <c r="O19" i="30"/>
  <c r="Q19" i="30"/>
  <c r="R19" i="30" s="1"/>
  <c r="S19" i="30" s="1"/>
  <c r="O27" i="30"/>
  <c r="Q27" i="30"/>
  <c r="R27" i="30" s="1"/>
  <c r="S27" i="30" s="1"/>
  <c r="O18" i="30"/>
  <c r="Q18" i="30"/>
  <c r="R18" i="30" s="1"/>
  <c r="S18" i="30" s="1"/>
  <c r="Q5" i="30"/>
  <c r="R5" i="30" s="1"/>
  <c r="O5" i="30"/>
  <c r="Q35" i="30"/>
  <c r="R35" i="30" s="1"/>
  <c r="S35" i="30" s="1"/>
  <c r="O35" i="30"/>
  <c r="Z35" i="30" s="1"/>
  <c r="O8" i="30"/>
  <c r="Z8" i="30" s="1"/>
  <c r="Q8" i="30"/>
  <c r="R8" i="30" s="1"/>
  <c r="S8" i="30" s="1"/>
  <c r="O29" i="30"/>
  <c r="Q29" i="30"/>
  <c r="R29" i="30" s="1"/>
  <c r="S29" i="30" s="1"/>
  <c r="O14" i="30"/>
  <c r="Q14" i="30"/>
  <c r="R14" i="30" s="1"/>
  <c r="S14" i="30" s="1"/>
  <c r="O33" i="30"/>
  <c r="Q33" i="30"/>
  <c r="R33" i="30" s="1"/>
  <c r="S33" i="30" s="1"/>
  <c r="Q28" i="30"/>
  <c r="R28" i="30" s="1"/>
  <c r="S28" i="30" s="1"/>
  <c r="O28" i="30"/>
  <c r="O7" i="30"/>
  <c r="Q7" i="30"/>
  <c r="R7" i="30" s="1"/>
  <c r="S7" i="30" s="1"/>
  <c r="O30" i="30"/>
  <c r="Z30" i="30" s="1"/>
  <c r="Q30" i="30"/>
  <c r="R30" i="30" s="1"/>
  <c r="S30" i="30" s="1"/>
  <c r="O13" i="30"/>
  <c r="Q13" i="30"/>
  <c r="R13" i="30" s="1"/>
  <c r="S13" i="30" s="1"/>
  <c r="O36" i="30"/>
  <c r="Z36" i="30" s="1"/>
  <c r="Q36" i="30"/>
  <c r="R36" i="30" s="1"/>
  <c r="S36" i="30" s="1"/>
  <c r="O31" i="30"/>
  <c r="Z31" i="30" s="1"/>
  <c r="Q31" i="30"/>
  <c r="R31" i="30" s="1"/>
  <c r="S31" i="30" s="1"/>
  <c r="O40" i="30"/>
  <c r="Z40" i="30" s="1"/>
  <c r="Q40" i="30"/>
  <c r="R40" i="30" s="1"/>
  <c r="S40" i="30" s="1"/>
  <c r="O20" i="30"/>
  <c r="Q20" i="30"/>
  <c r="R20" i="30" s="1"/>
  <c r="S20" i="30" s="1"/>
  <c r="O12" i="30"/>
  <c r="Q12" i="30"/>
  <c r="R12" i="30" s="1"/>
  <c r="S12" i="30" s="1"/>
  <c r="O10" i="30"/>
  <c r="Z10" i="30" s="1"/>
  <c r="Q10" i="30"/>
  <c r="R10" i="30" s="1"/>
  <c r="S10" i="30" s="1"/>
  <c r="O6" i="30"/>
  <c r="Q6" i="30"/>
  <c r="R6" i="30" s="1"/>
  <c r="S6" i="30" s="1"/>
  <c r="O26" i="30"/>
  <c r="Q26" i="30"/>
  <c r="R26" i="30" s="1"/>
  <c r="S26" i="30" s="1"/>
  <c r="Q25" i="30"/>
  <c r="R25" i="30" s="1"/>
  <c r="S25" i="30" s="1"/>
  <c r="O25" i="30"/>
  <c r="Y5" i="30"/>
  <c r="AA195" i="30" l="1"/>
  <c r="S195" i="30"/>
  <c r="AB195" i="30" s="1"/>
  <c r="S173" i="30"/>
  <c r="AB173" i="30" s="1"/>
  <c r="AA173" i="30"/>
  <c r="S229" i="30"/>
  <c r="AB229" i="30" s="1"/>
  <c r="AA229" i="30"/>
  <c r="S79" i="30"/>
  <c r="AB79" i="30" s="1"/>
  <c r="AA79" i="30"/>
  <c r="S82" i="30"/>
  <c r="AB82" i="30" s="1"/>
  <c r="AA82" i="30"/>
  <c r="S208" i="30"/>
  <c r="AB208" i="30" s="1"/>
  <c r="AA208" i="30"/>
  <c r="S183" i="30"/>
  <c r="AB183" i="30" s="1"/>
  <c r="AA183" i="30"/>
  <c r="S167" i="30"/>
  <c r="AB167" i="30" s="1"/>
  <c r="AA167" i="30"/>
  <c r="S75" i="30"/>
  <c r="AB75" i="30" s="1"/>
  <c r="AA75" i="30"/>
  <c r="S146" i="30"/>
  <c r="AB146" i="30" s="1"/>
  <c r="AA146" i="30"/>
  <c r="S105" i="30"/>
  <c r="AB105" i="30" s="1"/>
  <c r="AA105" i="30"/>
  <c r="S356" i="30"/>
  <c r="AB356" i="30" s="1"/>
  <c r="AA356" i="30"/>
  <c r="S76" i="30"/>
  <c r="AB76" i="30" s="1"/>
  <c r="AA76" i="30"/>
  <c r="S124" i="30"/>
  <c r="AB124" i="30" s="1"/>
  <c r="AA124" i="30"/>
  <c r="W143" i="30"/>
  <c r="X143" i="30" s="1"/>
  <c r="U143" i="30"/>
  <c r="Z143" i="30" s="1"/>
  <c r="U156" i="30"/>
  <c r="Z156" i="30" s="1"/>
  <c r="W156" i="30"/>
  <c r="X156" i="30" s="1"/>
  <c r="AA129" i="30"/>
  <c r="S129" i="30"/>
  <c r="AB129" i="30" s="1"/>
  <c r="S147" i="30"/>
  <c r="AB147" i="30" s="1"/>
  <c r="AA147" i="30"/>
  <c r="S233" i="30"/>
  <c r="AB233" i="30" s="1"/>
  <c r="AA233" i="30"/>
  <c r="S128" i="30"/>
  <c r="AB128" i="30" s="1"/>
  <c r="AA128" i="30"/>
  <c r="S169" i="30"/>
  <c r="AB169" i="30" s="1"/>
  <c r="AA169" i="30"/>
  <c r="S152" i="30"/>
  <c r="AB152" i="30" s="1"/>
  <c r="AA152" i="30"/>
  <c r="S207" i="30"/>
  <c r="AB207" i="30" s="1"/>
  <c r="AA207" i="30"/>
  <c r="AA189" i="30"/>
  <c r="S189" i="30"/>
  <c r="AB189" i="30" s="1"/>
  <c r="S197" i="30"/>
  <c r="AB197" i="30" s="1"/>
  <c r="AA197" i="30"/>
  <c r="S151" i="30"/>
  <c r="AB151" i="30" s="1"/>
  <c r="AA151" i="30"/>
  <c r="AA98" i="30"/>
  <c r="S98" i="30"/>
  <c r="AB98" i="30" s="1"/>
  <c r="S159" i="30"/>
  <c r="AB159" i="30" s="1"/>
  <c r="AA159" i="30"/>
  <c r="S166" i="30"/>
  <c r="AB166" i="30" s="1"/>
  <c r="AA166" i="30"/>
  <c r="S126" i="30"/>
  <c r="AB126" i="30" s="1"/>
  <c r="AA126" i="30"/>
  <c r="U157" i="30"/>
  <c r="Z157" i="30" s="1"/>
  <c r="W157" i="30"/>
  <c r="X157" i="30" s="1"/>
  <c r="W158" i="30"/>
  <c r="X158" i="30" s="1"/>
  <c r="U158" i="30"/>
  <c r="Z158" i="30" s="1"/>
  <c r="S97" i="30"/>
  <c r="AB97" i="30" s="1"/>
  <c r="AA97" i="30"/>
  <c r="S119" i="30"/>
  <c r="AB119" i="30" s="1"/>
  <c r="AA119" i="30"/>
  <c r="S116" i="30"/>
  <c r="AB116" i="30" s="1"/>
  <c r="AA116" i="30"/>
  <c r="S163" i="30"/>
  <c r="AB163" i="30" s="1"/>
  <c r="AA163" i="30"/>
  <c r="S182" i="30"/>
  <c r="AB182" i="30" s="1"/>
  <c r="AA182" i="30"/>
  <c r="AA100" i="30"/>
  <c r="S100" i="30"/>
  <c r="AB100" i="30" s="1"/>
  <c r="S372" i="30"/>
  <c r="AB372" i="30" s="1"/>
  <c r="AA372" i="30"/>
  <c r="S137" i="30"/>
  <c r="AB137" i="30" s="1"/>
  <c r="AA137" i="30"/>
  <c r="AA90" i="30"/>
  <c r="S90" i="30"/>
  <c r="AB90" i="30" s="1"/>
  <c r="S168" i="30"/>
  <c r="AB168" i="30" s="1"/>
  <c r="AA168" i="30"/>
  <c r="S165" i="30"/>
  <c r="AB165" i="30" s="1"/>
  <c r="AA165" i="30"/>
  <c r="AA96" i="30"/>
  <c r="S96" i="30"/>
  <c r="AB96" i="30" s="1"/>
  <c r="S127" i="30"/>
  <c r="AB127" i="30" s="1"/>
  <c r="AA127" i="30"/>
  <c r="S198" i="30"/>
  <c r="AB198" i="30" s="1"/>
  <c r="AA198" i="30"/>
  <c r="S188" i="30"/>
  <c r="AB188" i="30" s="1"/>
  <c r="AA188" i="30"/>
  <c r="S164" i="30"/>
  <c r="AB164" i="30" s="1"/>
  <c r="AA164" i="30"/>
  <c r="S191" i="30"/>
  <c r="AB191" i="30" s="1"/>
  <c r="AA191" i="30"/>
  <c r="S89" i="30"/>
  <c r="AB89" i="30" s="1"/>
  <c r="AA89" i="30"/>
  <c r="S359" i="30"/>
  <c r="AB359" i="30" s="1"/>
  <c r="AA359" i="30"/>
  <c r="S123" i="30"/>
  <c r="AB123" i="30" s="1"/>
  <c r="AA123" i="30"/>
  <c r="U140" i="30"/>
  <c r="Z140" i="30" s="1"/>
  <c r="W140" i="30"/>
  <c r="X140" i="30" s="1"/>
  <c r="S205" i="30"/>
  <c r="AB205" i="30" s="1"/>
  <c r="AA205" i="30"/>
  <c r="S154" i="30"/>
  <c r="AB154" i="30" s="1"/>
  <c r="AA154" i="30"/>
  <c r="AA103" i="30"/>
  <c r="S103" i="30"/>
  <c r="AB103" i="30" s="1"/>
  <c r="S357" i="30"/>
  <c r="AB357" i="30" s="1"/>
  <c r="AA357" i="30"/>
  <c r="S192" i="30"/>
  <c r="AB192" i="30" s="1"/>
  <c r="AA192" i="30"/>
  <c r="AA376" i="30"/>
  <c r="S376" i="30"/>
  <c r="AB376" i="30" s="1"/>
  <c r="S355" i="30"/>
  <c r="AB355" i="30" s="1"/>
  <c r="AA355" i="30"/>
  <c r="S206" i="30"/>
  <c r="AB206" i="30" s="1"/>
  <c r="AA206" i="30"/>
  <c r="S125" i="30"/>
  <c r="AB125" i="30" s="1"/>
  <c r="AA125" i="30"/>
  <c r="S153" i="30"/>
  <c r="AB153" i="30" s="1"/>
  <c r="AA153" i="30"/>
  <c r="S170" i="30"/>
  <c r="AB170" i="30" s="1"/>
  <c r="AA170" i="30"/>
  <c r="S358" i="30"/>
  <c r="AB358" i="30" s="1"/>
  <c r="AA358" i="30"/>
  <c r="S171" i="30"/>
  <c r="AB171" i="30" s="1"/>
  <c r="AA171" i="30"/>
  <c r="S194" i="30"/>
  <c r="AB194" i="30" s="1"/>
  <c r="AA194" i="30"/>
  <c r="AA106" i="30"/>
  <c r="S106" i="30"/>
  <c r="AB106" i="30" s="1"/>
  <c r="S122" i="30"/>
  <c r="AB122" i="30" s="1"/>
  <c r="AA122" i="30"/>
  <c r="U141" i="30"/>
  <c r="Z141" i="30" s="1"/>
  <c r="W141" i="30"/>
  <c r="X141" i="30" s="1"/>
  <c r="W142" i="30"/>
  <c r="X142" i="30" s="1"/>
  <c r="U142" i="30"/>
  <c r="Z142" i="30" s="1"/>
  <c r="S190" i="30"/>
  <c r="AB190" i="30" s="1"/>
  <c r="AA190" i="30"/>
  <c r="S99" i="30"/>
  <c r="AB99" i="30" s="1"/>
  <c r="AA99" i="30"/>
  <c r="S160" i="30"/>
  <c r="AB160" i="30" s="1"/>
  <c r="AA160" i="30"/>
  <c r="S378" i="30"/>
  <c r="AB378" i="30" s="1"/>
  <c r="AA378" i="30"/>
  <c r="S193" i="30"/>
  <c r="AB193" i="30" s="1"/>
  <c r="AA193" i="30"/>
  <c r="S74" i="30"/>
  <c r="AB74" i="30" s="1"/>
  <c r="AA74" i="30"/>
  <c r="S121" i="30"/>
  <c r="AB121" i="30" s="1"/>
  <c r="AA121" i="30"/>
  <c r="S120" i="30"/>
  <c r="AB120" i="30" s="1"/>
  <c r="AA120" i="30"/>
  <c r="S115" i="30"/>
  <c r="AB115" i="30" s="1"/>
  <c r="AA115" i="30"/>
  <c r="AA364" i="30"/>
  <c r="S364" i="30"/>
  <c r="AB364" i="30" s="1"/>
  <c r="S148" i="30"/>
  <c r="AB148" i="30" s="1"/>
  <c r="AA148" i="30"/>
  <c r="S367" i="30"/>
  <c r="AB367" i="30" s="1"/>
  <c r="AA367" i="30"/>
  <c r="S118" i="30"/>
  <c r="AB118" i="30" s="1"/>
  <c r="AA118" i="30"/>
  <c r="S150" i="30"/>
  <c r="AB150" i="30" s="1"/>
  <c r="AA150" i="30"/>
  <c r="S231" i="30"/>
  <c r="AB231" i="30" s="1"/>
  <c r="AA231" i="30"/>
  <c r="S227" i="30"/>
  <c r="AB227" i="30" s="1"/>
  <c r="AA227" i="30"/>
  <c r="S200" i="30"/>
  <c r="AB200" i="30" s="1"/>
  <c r="AA200" i="30"/>
  <c r="S196" i="30"/>
  <c r="AB196" i="30" s="1"/>
  <c r="AA196" i="30"/>
  <c r="S354" i="30"/>
  <c r="AB354" i="30" s="1"/>
  <c r="AA354" i="30"/>
  <c r="S87" i="30"/>
  <c r="AB87" i="30" s="1"/>
  <c r="AA87" i="30"/>
  <c r="AA176" i="30"/>
  <c r="S176" i="30"/>
  <c r="AB176" i="30" s="1"/>
  <c r="AA85" i="30"/>
  <c r="S85" i="30"/>
  <c r="AB85" i="30" s="1"/>
  <c r="S187" i="30"/>
  <c r="AB187" i="30" s="1"/>
  <c r="AA187" i="30"/>
  <c r="S230" i="30"/>
  <c r="AB230" i="30" s="1"/>
  <c r="AA230" i="30"/>
  <c r="S228" i="30"/>
  <c r="AB228" i="30" s="1"/>
  <c r="AA228" i="30"/>
  <c r="S162" i="30"/>
  <c r="AB162" i="30" s="1"/>
  <c r="AA162" i="30"/>
  <c r="S184" i="30"/>
  <c r="AB184" i="30" s="1"/>
  <c r="AA184" i="30"/>
  <c r="S112" i="30"/>
  <c r="AB112" i="30" s="1"/>
  <c r="AA112" i="30"/>
  <c r="S104" i="30"/>
  <c r="AB104" i="30" s="1"/>
  <c r="AA104" i="30"/>
  <c r="S93" i="30"/>
  <c r="AB93" i="30" s="1"/>
  <c r="AA93" i="30"/>
  <c r="AA111" i="30"/>
  <c r="S111" i="30"/>
  <c r="AB111" i="30" s="1"/>
  <c r="S362" i="30"/>
  <c r="AB362" i="30" s="1"/>
  <c r="AA362" i="30"/>
  <c r="S232" i="30"/>
  <c r="AB232" i="30" s="1"/>
  <c r="AA232" i="30"/>
  <c r="S149" i="30"/>
  <c r="AB149" i="30" s="1"/>
  <c r="AA149" i="30"/>
  <c r="S155" i="30"/>
  <c r="AB155" i="30" s="1"/>
  <c r="AA155" i="30"/>
  <c r="S92" i="30"/>
  <c r="AB92" i="30" s="1"/>
  <c r="AA92" i="30"/>
  <c r="S375" i="30"/>
  <c r="AB375" i="30" s="1"/>
  <c r="AA375" i="30"/>
  <c r="S377" i="30"/>
  <c r="AB377" i="30" s="1"/>
  <c r="AA377" i="30"/>
  <c r="AA130" i="30"/>
  <c r="S130" i="30"/>
  <c r="AB130" i="30" s="1"/>
  <c r="S109" i="30"/>
  <c r="AB109" i="30" s="1"/>
  <c r="AA109" i="30"/>
  <c r="S78" i="30"/>
  <c r="AB78" i="30" s="1"/>
  <c r="AA78" i="30"/>
  <c r="S186" i="30"/>
  <c r="AB186" i="30" s="1"/>
  <c r="AA186" i="30"/>
  <c r="S73" i="30"/>
  <c r="AB73" i="30" s="1"/>
  <c r="AA73" i="30"/>
  <c r="S370" i="30"/>
  <c r="AB370" i="30" s="1"/>
  <c r="AA370" i="30"/>
  <c r="S83" i="30"/>
  <c r="AB83" i="30" s="1"/>
  <c r="AA83" i="30"/>
  <c r="AA178" i="30"/>
  <c r="S178" i="30"/>
  <c r="AB178" i="30" s="1"/>
  <c r="S199" i="30"/>
  <c r="AB199" i="30" s="1"/>
  <c r="AA199" i="30"/>
  <c r="S379" i="30"/>
  <c r="AB379" i="30" s="1"/>
  <c r="AA379" i="30"/>
  <c r="S179" i="30"/>
  <c r="AB179" i="30" s="1"/>
  <c r="AA179" i="30"/>
  <c r="S94" i="30"/>
  <c r="AB94" i="30" s="1"/>
  <c r="AA94" i="30"/>
  <c r="S161" i="30"/>
  <c r="AB161" i="30" s="1"/>
  <c r="AA161" i="30"/>
  <c r="AA368" i="30"/>
  <c r="S368" i="30"/>
  <c r="AB368" i="30" s="1"/>
  <c r="S86" i="30"/>
  <c r="AB86" i="30" s="1"/>
  <c r="AA86" i="30"/>
  <c r="S202" i="30"/>
  <c r="AB202" i="30" s="1"/>
  <c r="AA202" i="30"/>
  <c r="S91" i="30"/>
  <c r="AB91" i="30" s="1"/>
  <c r="AA91" i="30"/>
  <c r="S117" i="30"/>
  <c r="AB117" i="30" s="1"/>
  <c r="AA117" i="30"/>
  <c r="S374" i="30"/>
  <c r="AB374" i="30" s="1"/>
  <c r="AA374" i="30"/>
  <c r="S201" i="30"/>
  <c r="AB201" i="30" s="1"/>
  <c r="AA201" i="30"/>
  <c r="AA132" i="30"/>
  <c r="S132" i="30"/>
  <c r="AB132" i="30" s="1"/>
  <c r="S185" i="30"/>
  <c r="AB185" i="30" s="1"/>
  <c r="AA185" i="30"/>
  <c r="S234" i="30"/>
  <c r="AB234" i="30" s="1"/>
  <c r="AA234" i="30"/>
  <c r="S80" i="30"/>
  <c r="AB80" i="30" s="1"/>
  <c r="AA80" i="30"/>
  <c r="S175" i="30"/>
  <c r="AB175" i="30" s="1"/>
  <c r="AA175" i="30"/>
  <c r="S81" i="30"/>
  <c r="AB81" i="30" s="1"/>
  <c r="AA81" i="30"/>
  <c r="S139" i="30"/>
  <c r="AB139" i="30" s="1"/>
  <c r="AA139" i="30"/>
  <c r="S177" i="30"/>
  <c r="AB177" i="30" s="1"/>
  <c r="AA177" i="30"/>
  <c r="S88" i="30"/>
  <c r="AB88" i="30" s="1"/>
  <c r="AA88" i="30"/>
  <c r="S371" i="30"/>
  <c r="AB371" i="30" s="1"/>
  <c r="AA371" i="30"/>
  <c r="S373" i="30"/>
  <c r="AB373" i="30" s="1"/>
  <c r="AA373" i="30"/>
  <c r="S101" i="30"/>
  <c r="AB101" i="30" s="1"/>
  <c r="AA101" i="30"/>
  <c r="S77" i="30"/>
  <c r="AB77" i="30" s="1"/>
  <c r="AA77" i="30"/>
  <c r="S131" i="30"/>
  <c r="AB131" i="30" s="1"/>
  <c r="AA131" i="30"/>
  <c r="S84" i="30"/>
  <c r="AB84" i="30" s="1"/>
  <c r="AA84" i="30"/>
  <c r="S361" i="30"/>
  <c r="AB361" i="30" s="1"/>
  <c r="AA361" i="30"/>
  <c r="S369" i="30"/>
  <c r="AB369" i="30" s="1"/>
  <c r="AA369" i="30"/>
  <c r="S110" i="30"/>
  <c r="AB110" i="30" s="1"/>
  <c r="AA110" i="30"/>
  <c r="S108" i="30"/>
  <c r="AB108" i="30" s="1"/>
  <c r="AA108" i="30"/>
  <c r="S360" i="30"/>
  <c r="AB360" i="30" s="1"/>
  <c r="AA360" i="30"/>
  <c r="S363" i="30"/>
  <c r="AB363" i="30" s="1"/>
  <c r="AA363" i="30"/>
  <c r="AA138" i="30"/>
  <c r="S138" i="30"/>
  <c r="AB138" i="30" s="1"/>
  <c r="S95" i="30"/>
  <c r="AB95" i="30" s="1"/>
  <c r="AA95" i="30"/>
  <c r="S16" i="30"/>
  <c r="AA16" i="30"/>
  <c r="S15" i="30"/>
  <c r="AA15" i="30"/>
  <c r="AA290" i="30"/>
  <c r="AA235" i="30"/>
  <c r="AA334" i="30"/>
  <c r="AA288" i="30"/>
  <c r="AA246" i="30"/>
  <c r="AA345" i="30"/>
  <c r="AA340" i="30"/>
  <c r="AA248" i="30"/>
  <c r="AA321" i="30"/>
  <c r="AA347" i="30"/>
  <c r="AA243" i="30"/>
  <c r="AA341" i="30"/>
  <c r="AA275" i="30"/>
  <c r="AA335" i="30"/>
  <c r="AA301" i="30"/>
  <c r="AA270" i="30"/>
  <c r="AA337" i="30"/>
  <c r="AA348" i="30"/>
  <c r="AA343" i="30"/>
  <c r="AA336" i="30"/>
  <c r="AA332" i="30"/>
  <c r="AA289" i="30"/>
  <c r="AA313" i="30"/>
  <c r="AA312" i="30"/>
  <c r="AA310" i="30"/>
  <c r="AA351" i="30"/>
  <c r="AA314" i="30"/>
  <c r="AA344" i="30"/>
  <c r="AA338" i="30"/>
  <c r="AA269" i="30"/>
  <c r="AA311" i="30"/>
  <c r="AA349" i="30"/>
  <c r="AA346" i="30"/>
  <c r="AA339" i="30"/>
  <c r="AA342" i="30"/>
  <c r="AA333" i="30"/>
  <c r="AA302" i="30"/>
  <c r="AA274" i="30"/>
  <c r="AA315" i="30"/>
  <c r="AA278" i="30"/>
  <c r="AA65" i="30"/>
  <c r="AA244" i="30"/>
  <c r="AA350" i="30"/>
  <c r="AA271" i="30"/>
  <c r="AA330" i="30"/>
  <c r="AA257" i="30"/>
  <c r="AA320" i="30"/>
  <c r="AA250" i="30"/>
  <c r="AA325" i="30"/>
  <c r="AA266" i="30"/>
  <c r="AA282" i="30"/>
  <c r="AA252" i="30"/>
  <c r="AA280" i="30"/>
  <c r="AA259" i="30"/>
  <c r="AA286" i="30"/>
  <c r="AA291" i="30"/>
  <c r="AA296" i="30"/>
  <c r="AA328" i="30"/>
  <c r="AA287" i="30"/>
  <c r="AA300" i="30"/>
  <c r="AA238" i="30"/>
  <c r="AA261" i="30"/>
  <c r="AA258" i="30"/>
  <c r="AA294" i="30"/>
  <c r="AA237" i="30"/>
  <c r="AA67" i="30"/>
  <c r="AA297" i="30"/>
  <c r="AA255" i="30"/>
  <c r="AA68" i="30"/>
  <c r="AA69" i="30"/>
  <c r="AA256" i="30"/>
  <c r="AA323" i="30"/>
  <c r="AA306" i="30"/>
  <c r="AA66" i="30"/>
  <c r="AA304" i="30"/>
  <c r="AA70" i="30"/>
  <c r="AA319" i="30"/>
  <c r="AA317" i="30"/>
  <c r="AA292" i="30"/>
  <c r="AA303" i="30"/>
  <c r="AA260" i="30"/>
  <c r="AA298" i="30"/>
  <c r="AA254" i="30"/>
  <c r="AA329" i="30"/>
  <c r="AA285" i="30"/>
  <c r="AA331" i="30"/>
  <c r="AA239" i="30"/>
  <c r="AA293" i="30"/>
  <c r="AA299" i="30"/>
  <c r="AA247" i="30"/>
  <c r="AA276" i="30"/>
  <c r="AA324" i="30"/>
  <c r="AA262" i="30"/>
  <c r="AA264" i="30"/>
  <c r="AA295" i="30"/>
  <c r="AA245" i="30"/>
  <c r="AA267" i="30"/>
  <c r="AA263" i="30"/>
  <c r="AA71" i="30"/>
  <c r="AA281" i="30"/>
  <c r="AA236" i="30"/>
  <c r="AA309" i="30"/>
  <c r="AA327" i="30"/>
  <c r="AA253" i="30"/>
  <c r="AA318" i="30"/>
  <c r="AA279" i="30"/>
  <c r="AA308" i="30"/>
  <c r="AA242" i="30"/>
  <c r="AA241" i="30"/>
  <c r="AA307" i="30"/>
  <c r="AA305" i="30"/>
  <c r="AA251" i="30"/>
  <c r="AA316" i="30"/>
  <c r="AA64" i="30"/>
  <c r="AA273" i="30"/>
  <c r="AA322" i="30"/>
  <c r="AA268" i="30"/>
  <c r="AA240" i="30"/>
  <c r="AA265" i="30"/>
  <c r="AA326" i="30"/>
  <c r="AA283" i="30"/>
  <c r="AA249" i="30"/>
  <c r="AA272" i="30"/>
  <c r="AA277" i="30"/>
  <c r="Z5" i="30"/>
  <c r="Z60" i="30"/>
  <c r="Z52" i="30"/>
  <c r="Z45" i="30"/>
  <c r="Z9" i="30"/>
  <c r="Z32" i="30"/>
  <c r="Z59" i="30"/>
  <c r="Z25" i="30"/>
  <c r="Z54" i="30"/>
  <c r="Z29" i="30"/>
  <c r="Z43" i="30"/>
  <c r="Z27" i="30"/>
  <c r="Z46" i="30"/>
  <c r="Z61" i="30"/>
  <c r="Z26" i="30"/>
  <c r="Z19" i="30"/>
  <c r="Z42" i="30"/>
  <c r="Z7" i="30"/>
  <c r="Z21" i="30"/>
  <c r="Z13" i="30"/>
  <c r="Z17" i="30"/>
  <c r="Z62" i="30"/>
  <c r="Z55" i="30"/>
  <c r="Z18" i="30"/>
  <c r="Z48" i="30"/>
  <c r="Z33" i="30"/>
  <c r="Z12" i="30"/>
  <c r="Z44" i="30"/>
  <c r="Z57" i="30"/>
  <c r="Z23" i="30"/>
  <c r="Z63" i="30"/>
  <c r="Z20" i="30"/>
  <c r="Z11" i="30"/>
  <c r="Z22" i="30"/>
  <c r="Z49" i="30"/>
  <c r="Z58" i="30"/>
  <c r="Z14" i="30"/>
  <c r="Z28" i="30"/>
  <c r="Z53" i="30"/>
  <c r="AA156" i="30" l="1"/>
  <c r="Y156" i="30"/>
  <c r="AB156" i="30" s="1"/>
  <c r="Y142" i="30"/>
  <c r="AB142" i="30" s="1"/>
  <c r="AA142" i="30"/>
  <c r="Y141" i="30"/>
  <c r="AB141" i="30" s="1"/>
  <c r="AA141" i="30"/>
  <c r="Y140" i="30"/>
  <c r="AB140" i="30" s="1"/>
  <c r="AA140" i="30"/>
  <c r="Y157" i="30"/>
  <c r="AB157" i="30" s="1"/>
  <c r="AA157" i="30"/>
  <c r="Y143" i="30"/>
  <c r="AB143" i="30" s="1"/>
  <c r="AA143" i="30"/>
  <c r="Y158" i="30"/>
  <c r="AB158" i="30" s="1"/>
  <c r="AA158" i="30"/>
  <c r="O4" i="30"/>
  <c r="F7" i="32" s="1"/>
  <c r="U4" i="30"/>
  <c r="I7" i="32" s="1"/>
  <c r="Z6" i="30"/>
  <c r="Z4" i="30" l="1"/>
  <c r="D7" i="41" s="1"/>
  <c r="E15" i="24"/>
  <c r="F15" i="24"/>
  <c r="H15" i="24"/>
  <c r="I15" i="24"/>
  <c r="E32" i="24"/>
  <c r="F32" i="24"/>
  <c r="H32" i="24"/>
  <c r="I32" i="24"/>
  <c r="E36" i="24"/>
  <c r="F36" i="24"/>
  <c r="H36" i="24"/>
  <c r="I36" i="24"/>
  <c r="E49" i="24"/>
  <c r="F49" i="24"/>
  <c r="H49" i="24"/>
  <c r="I49" i="24"/>
  <c r="E54" i="24"/>
  <c r="F54" i="24"/>
  <c r="H54" i="24"/>
  <c r="I54" i="24"/>
  <c r="L7" i="32" l="1"/>
  <c r="I37" i="24"/>
  <c r="H55" i="24"/>
  <c r="F37" i="24"/>
  <c r="H37" i="24"/>
  <c r="E37" i="24"/>
  <c r="E55" i="24"/>
  <c r="F55" i="24"/>
  <c r="I55" i="24"/>
  <c r="AA6" i="30"/>
  <c r="AA62" i="30"/>
  <c r="AA54" i="30"/>
  <c r="AA56" i="30"/>
  <c r="AA47" i="30"/>
  <c r="AA10" i="30"/>
  <c r="AA32" i="30"/>
  <c r="AA63" i="30"/>
  <c r="AA20" i="30"/>
  <c r="AA53" i="30"/>
  <c r="AA43" i="30"/>
  <c r="AA42" i="30"/>
  <c r="AA29" i="30"/>
  <c r="AA21" i="30"/>
  <c r="AA28" i="30"/>
  <c r="AA19" i="30"/>
  <c r="AA55" i="30"/>
  <c r="AA46" i="30"/>
  <c r="AA14" i="30"/>
  <c r="AA49" i="30"/>
  <c r="AA24" i="30"/>
  <c r="AA11" i="30"/>
  <c r="AA25" i="30"/>
  <c r="AA7" i="30"/>
  <c r="AA17" i="30"/>
  <c r="AA59" i="30"/>
  <c r="AA33" i="30"/>
  <c r="AA22" i="30"/>
  <c r="AA44" i="30"/>
  <c r="AA26" i="30"/>
  <c r="AA61" i="30"/>
  <c r="AA27" i="30"/>
  <c r="AA12" i="30"/>
  <c r="AA9" i="30"/>
  <c r="AA45" i="30"/>
  <c r="AA52" i="30"/>
  <c r="AA23" i="30"/>
  <c r="AA18" i="30"/>
  <c r="AB18" i="30"/>
  <c r="AA58" i="30"/>
  <c r="AA57" i="30"/>
  <c r="AA48" i="30"/>
  <c r="AA13" i="30"/>
  <c r="AA60" i="30"/>
  <c r="AA37" i="30"/>
  <c r="AA30" i="30"/>
  <c r="AA8" i="30"/>
  <c r="AA38" i="30"/>
  <c r="AA39" i="30"/>
  <c r="AA5" i="30"/>
  <c r="AA41" i="30"/>
  <c r="AA284" i="30"/>
  <c r="AA36" i="30"/>
  <c r="AA35" i="30"/>
  <c r="AA31" i="30"/>
  <c r="AA353" i="30"/>
  <c r="AA51" i="30"/>
  <c r="AA34" i="30"/>
  <c r="AA40" i="30"/>
  <c r="AA352" i="30"/>
  <c r="X4" i="30"/>
  <c r="J7" i="32" s="1"/>
  <c r="AA50" i="30"/>
  <c r="L6" i="32" l="1"/>
  <c r="F56" i="24"/>
  <c r="F58" i="24" s="1"/>
  <c r="I56" i="24"/>
  <c r="I58" i="24" s="1"/>
  <c r="H59" i="24" s="1"/>
  <c r="AB22" i="30"/>
  <c r="AB46" i="30"/>
  <c r="AB70" i="30"/>
  <c r="AB252" i="30"/>
  <c r="AB281" i="30"/>
  <c r="AB305" i="30"/>
  <c r="AB329" i="30"/>
  <c r="AB16" i="30"/>
  <c r="AB288" i="30"/>
  <c r="AB318" i="30"/>
  <c r="AB342" i="30"/>
  <c r="AB289" i="30"/>
  <c r="AB331" i="30"/>
  <c r="AB237" i="30"/>
  <c r="AB353" i="30"/>
  <c r="AB41" i="30"/>
  <c r="AB65" i="30"/>
  <c r="AB248" i="30"/>
  <c r="AB348" i="30"/>
  <c r="AB349" i="30"/>
  <c r="AB68" i="30"/>
  <c r="AB327" i="30"/>
  <c r="AB24" i="30"/>
  <c r="AB48" i="30"/>
  <c r="AB235" i="30"/>
  <c r="AB254" i="30"/>
  <c r="AB343" i="30"/>
  <c r="AB297" i="30"/>
  <c r="AB13" i="30"/>
  <c r="AB37" i="30"/>
  <c r="AB60" i="30"/>
  <c r="AB244" i="30"/>
  <c r="AB274" i="30"/>
  <c r="AB296" i="30"/>
  <c r="AB320" i="30"/>
  <c r="AB245" i="30"/>
  <c r="AB333" i="30"/>
  <c r="AB20" i="30"/>
  <c r="AB268" i="30"/>
  <c r="AB21" i="30"/>
  <c r="AB45" i="30"/>
  <c r="AB69" i="30"/>
  <c r="AB251" i="30"/>
  <c r="AB280" i="30"/>
  <c r="AB304" i="30"/>
  <c r="AB328" i="30"/>
  <c r="AB15" i="30"/>
  <c r="H60" i="24"/>
  <c r="J6" i="32"/>
  <c r="Y4" i="30"/>
  <c r="K7" i="32" s="1"/>
  <c r="AA404" i="30"/>
  <c r="R4" i="30"/>
  <c r="G7" i="32" s="1"/>
  <c r="I60" i="24" l="1"/>
  <c r="E59" i="24"/>
  <c r="AB28" i="30"/>
  <c r="AB51" i="30"/>
  <c r="AB239" i="30"/>
  <c r="AB277" i="30"/>
  <c r="AB287" i="30"/>
  <c r="AB311" i="30"/>
  <c r="AB335" i="30"/>
  <c r="AB271" i="30"/>
  <c r="AB294" i="30"/>
  <c r="AB324" i="30"/>
  <c r="AB295" i="30"/>
  <c r="S5" i="30"/>
  <c r="AB5" i="30" s="1"/>
  <c r="AB275" i="30"/>
  <c r="AB23" i="30"/>
  <c r="AB47" i="30"/>
  <c r="AB71" i="30"/>
  <c r="AB253" i="30"/>
  <c r="AB307" i="30"/>
  <c r="AB332" i="30"/>
  <c r="AB250" i="30"/>
  <c r="AB6" i="30"/>
  <c r="AB30" i="30"/>
  <c r="AB53" i="30"/>
  <c r="AB241" i="30"/>
  <c r="AB270" i="30"/>
  <c r="AB55" i="30"/>
  <c r="AB321" i="30"/>
  <c r="AB19" i="30"/>
  <c r="AB43" i="30"/>
  <c r="AB67" i="30"/>
  <c r="AB249" i="30"/>
  <c r="AB264" i="30"/>
  <c r="AB302" i="30"/>
  <c r="AB326" i="30"/>
  <c r="AB267" i="30"/>
  <c r="AB351" i="30"/>
  <c r="AB26" i="30"/>
  <c r="AB345" i="30"/>
  <c r="AB27" i="30"/>
  <c r="AB50" i="30"/>
  <c r="AB238" i="30"/>
  <c r="AB276" i="30"/>
  <c r="AB286" i="30"/>
  <c r="AB310" i="30"/>
  <c r="AB334" i="30"/>
  <c r="AB10" i="30"/>
  <c r="AB34" i="30"/>
  <c r="AB58" i="30"/>
  <c r="AB257" i="30"/>
  <c r="AB279" i="30"/>
  <c r="AB293" i="30"/>
  <c r="AB317" i="30"/>
  <c r="AB341" i="30"/>
  <c r="AB266" i="30"/>
  <c r="AB300" i="30"/>
  <c r="AB330" i="30"/>
  <c r="AB272" i="30"/>
  <c r="AB313" i="30"/>
  <c r="AB344" i="30"/>
  <c r="AB315" i="30"/>
  <c r="AB29" i="30"/>
  <c r="AB52" i="30"/>
  <c r="AB240" i="30"/>
  <c r="AB269" i="30"/>
  <c r="AB325" i="30"/>
  <c r="AB350" i="30"/>
  <c r="AB285" i="30"/>
  <c r="AB12" i="30"/>
  <c r="AB36" i="30"/>
  <c r="AB56" i="30"/>
  <c r="AB259" i="30"/>
  <c r="AB283" i="30"/>
  <c r="AB243" i="30"/>
  <c r="AB339" i="30"/>
  <c r="AB25" i="30"/>
  <c r="AB17" i="30"/>
  <c r="AB236" i="30"/>
  <c r="AB255" i="30"/>
  <c r="AB284" i="30"/>
  <c r="AB308" i="30"/>
  <c r="AB338" i="30"/>
  <c r="AB291" i="30"/>
  <c r="AB8" i="30"/>
  <c r="AB44" i="30"/>
  <c r="AB9" i="30"/>
  <c r="AB33" i="30"/>
  <c r="AB57" i="30"/>
  <c r="AB256" i="30"/>
  <c r="AB278" i="30"/>
  <c r="AB292" i="30"/>
  <c r="AB316" i="30"/>
  <c r="AB340" i="30"/>
  <c r="AB352" i="30"/>
  <c r="AB40" i="30"/>
  <c r="AB64" i="30"/>
  <c r="AB261" i="30"/>
  <c r="AB265" i="30"/>
  <c r="AB299" i="30"/>
  <c r="AB323" i="30"/>
  <c r="AB347" i="30"/>
  <c r="AB282" i="30"/>
  <c r="AB312" i="30"/>
  <c r="AB336" i="30"/>
  <c r="AB263" i="30"/>
  <c r="AB319" i="30"/>
  <c r="AB38" i="30"/>
  <c r="AB11" i="30"/>
  <c r="AB35" i="30"/>
  <c r="AB59" i="30"/>
  <c r="AB258" i="30"/>
  <c r="AB306" i="30"/>
  <c r="AB337" i="30"/>
  <c r="AB32" i="30"/>
  <c r="AB303" i="30"/>
  <c r="AB42" i="30"/>
  <c r="AB66" i="30"/>
  <c r="AB247" i="30"/>
  <c r="AB301" i="30"/>
  <c r="AB246" i="30"/>
  <c r="AB7" i="30"/>
  <c r="AB31" i="30"/>
  <c r="AB54" i="30"/>
  <c r="AB242" i="30"/>
  <c r="AB273" i="30"/>
  <c r="AB290" i="30"/>
  <c r="AB314" i="30"/>
  <c r="AB49" i="30"/>
  <c r="AB309" i="30"/>
  <c r="AB14" i="30"/>
  <c r="AB61" i="30"/>
  <c r="AB62" i="30"/>
  <c r="AB39" i="30"/>
  <c r="AB63" i="30"/>
  <c r="AB260" i="30"/>
  <c r="AB262" i="30"/>
  <c r="AB298" i="30"/>
  <c r="AB322" i="30"/>
  <c r="AB346" i="30"/>
  <c r="K6" i="32"/>
  <c r="I6" i="32"/>
  <c r="AA4" i="30"/>
  <c r="AB404" i="30"/>
  <c r="M7" i="32" l="1"/>
  <c r="M6" i="32" s="1"/>
  <c r="O6" i="32" s="1"/>
  <c r="AC4" i="30"/>
  <c r="S4" i="30"/>
  <c r="H7" i="32" s="1"/>
  <c r="H6" i="32" s="1"/>
  <c r="F6" i="32"/>
  <c r="E6" i="32"/>
  <c r="G6" i="32"/>
  <c r="AB4" i="30"/>
  <c r="O7" i="32" l="1"/>
  <c r="N7" i="32"/>
  <c r="N6" i="32" s="1"/>
  <c r="F7" i="41"/>
  <c r="F11" i="41" s="1"/>
  <c r="D6" i="32"/>
  <c r="F12" i="41" l="1"/>
  <c r="F13" i="41" s="1"/>
  <c r="P7" i="32"/>
  <c r="Q7" i="32"/>
  <c r="G7" i="41"/>
  <c r="G11" i="41" s="1"/>
  <c r="Q6" i="32"/>
  <c r="P6" i="32"/>
  <c r="G12" i="41" l="1"/>
  <c r="G13" i="41" s="1"/>
</calcChain>
</file>

<file path=xl/sharedStrings.xml><?xml version="1.0" encoding="utf-8"?>
<sst xmlns="http://schemas.openxmlformats.org/spreadsheetml/2006/main" count="3014" uniqueCount="635">
  <si>
    <t>C</t>
  </si>
  <si>
    <t>E</t>
  </si>
  <si>
    <t>G</t>
  </si>
  <si>
    <t>RG</t>
  </si>
  <si>
    <t>Bereich</t>
  </si>
  <si>
    <t>Bezeichnung</t>
  </si>
  <si>
    <t>Raum-Nr.</t>
  </si>
  <si>
    <t>Gebäude</t>
  </si>
  <si>
    <t>Etage</t>
  </si>
  <si>
    <t>Belag</t>
  </si>
  <si>
    <t>TU</t>
  </si>
  <si>
    <t>Inter-vall</t>
  </si>
  <si>
    <t>RA</t>
  </si>
  <si>
    <t>Flur</t>
  </si>
  <si>
    <t>V</t>
  </si>
  <si>
    <t>A1</t>
  </si>
  <si>
    <t>Alle angegebenen Preise verstehen sich zuzüglich der gesetzlichen Mehrwertsteuer.</t>
  </si>
  <si>
    <t>Bemerkung</t>
  </si>
  <si>
    <t>Lfd. Nr.</t>
  </si>
  <si>
    <t>Fläche [m²]</t>
  </si>
  <si>
    <t>SVS [EUR]</t>
  </si>
  <si>
    <t>Leistung [m²/Std.]</t>
  </si>
  <si>
    <t>Monats-fläche [m²]</t>
  </si>
  <si>
    <t>Monats-stunden [Std.]</t>
  </si>
  <si>
    <t>Monats-preis  [EUR]</t>
  </si>
  <si>
    <t>Preis/Monat [EUR]</t>
  </si>
  <si>
    <t>Montag - Samstag</t>
  </si>
  <si>
    <t>Sonntags / Feiertags</t>
  </si>
  <si>
    <t>Sonn- und Feiertagszuschlag</t>
  </si>
  <si>
    <t>Lohnkostenanteil am Preis in %</t>
  </si>
  <si>
    <t>Stundenverrechnungssatz</t>
  </si>
  <si>
    <t>RISIKO-/GEWINNAUFSCHLAG AUF DIE SELBSTKOSTEN</t>
  </si>
  <si>
    <t>6</t>
  </si>
  <si>
    <t>SELBSTKOSTEN (Summe 1 - 5)</t>
  </si>
  <si>
    <t>SUMME Position 5</t>
  </si>
  <si>
    <t>Verwaltungskosten</t>
  </si>
  <si>
    <t>5.3</t>
  </si>
  <si>
    <t>Sonstige Betriebskosten</t>
  </si>
  <si>
    <t>5.2</t>
  </si>
  <si>
    <t>Gewerbesteuer</t>
  </si>
  <si>
    <t>5.1</t>
  </si>
  <si>
    <t>UNTERNEHMENSBEZOGENE KOSTEN</t>
  </si>
  <si>
    <t>5</t>
  </si>
  <si>
    <t>SUMME Position 4</t>
  </si>
  <si>
    <t>Sonstige Auftragsbezogene Kosten</t>
  </si>
  <si>
    <t>4.9</t>
  </si>
  <si>
    <t>Arbeitskleidung</t>
  </si>
  <si>
    <t>4.8</t>
  </si>
  <si>
    <t>Einarbeitung / Schulung</t>
  </si>
  <si>
    <t>4.7</t>
  </si>
  <si>
    <t>Kosten für Moppwäsche</t>
  </si>
  <si>
    <t>4.6</t>
  </si>
  <si>
    <t>Verwaltungskosten (Miete, Telefon usw.)</t>
  </si>
  <si>
    <t>4.5</t>
  </si>
  <si>
    <t>Maschinen- und Gerätekosten (inkl. AfA)</t>
  </si>
  <si>
    <t>4.4</t>
  </si>
  <si>
    <t>Reinigungsmittel und Kleinmaterial</t>
  </si>
  <si>
    <t>4.3</t>
  </si>
  <si>
    <t>Sonstige Personalkosten (Overhead)</t>
  </si>
  <si>
    <t>4.2</t>
  </si>
  <si>
    <t>Betriebshaftpflicht</t>
  </si>
  <si>
    <t>4.1</t>
  </si>
  <si>
    <t>SONSTIGE AUFTRAGSBEZOGENE KOSTEN</t>
  </si>
  <si>
    <t>4</t>
  </si>
  <si>
    <t>SUMME Lohn- und Lohngebundene Kosten</t>
  </si>
  <si>
    <t>SUMME Position 3</t>
  </si>
  <si>
    <t>Schwerbehindertenabgabe</t>
  </si>
  <si>
    <t>3.2</t>
  </si>
  <si>
    <t>Beiträge zu Berufsorganisationen</t>
  </si>
  <si>
    <t>3.1</t>
  </si>
  <si>
    <t>LOHNNEBENKOSTEN</t>
  </si>
  <si>
    <t>3</t>
  </si>
  <si>
    <t>Summe Position 2</t>
  </si>
  <si>
    <t>2.13</t>
  </si>
  <si>
    <t>Sozialversicherung auf Jahressondervergütungen</t>
  </si>
  <si>
    <t>2.12</t>
  </si>
  <si>
    <t>Jahressondervergütungen</t>
  </si>
  <si>
    <t>2.11</t>
  </si>
  <si>
    <t>Sozialversicherung auf tarifl. Ausfallzeiten</t>
  </si>
  <si>
    <t>2.10</t>
  </si>
  <si>
    <t>Tarifliche Ausfallzeiten</t>
  </si>
  <si>
    <t>2.9</t>
  </si>
  <si>
    <t>Sozialversicherung auf Lohnfortzahlung</t>
  </si>
  <si>
    <t>2.8</t>
  </si>
  <si>
    <t>Gesetzliche Lohnfortzahlung im Krankheitsfall</t>
  </si>
  <si>
    <t>2.7</t>
  </si>
  <si>
    <t>Sozialversicherung auf Feiertage</t>
  </si>
  <si>
    <t>2.6</t>
  </si>
  <si>
    <t>Gesetzliche Feiertage</t>
  </si>
  <si>
    <t>2.5</t>
  </si>
  <si>
    <t>Sozialversicherung auf zusätzliches Urlaubsentgelt</t>
  </si>
  <si>
    <t>2.4</t>
  </si>
  <si>
    <t>zusätzliches Urlaubsgeld</t>
  </si>
  <si>
    <t>2.3</t>
  </si>
  <si>
    <t>Sozialversicherung auf Urlaubsentgelt</t>
  </si>
  <si>
    <t>2.2</t>
  </si>
  <si>
    <t>Urlaubsentgelt</t>
  </si>
  <si>
    <t>2.1</t>
  </si>
  <si>
    <t>LOHNFOLGEKOSTEN</t>
  </si>
  <si>
    <t>2</t>
  </si>
  <si>
    <t>SUMME Position 1</t>
  </si>
  <si>
    <t>1.6</t>
  </si>
  <si>
    <t>Gesetzliche Unfallversicherung</t>
  </si>
  <si>
    <t>1.5</t>
  </si>
  <si>
    <t>Pflegeversicherung</t>
  </si>
  <si>
    <t>1.4</t>
  </si>
  <si>
    <t>Arbeitslosenversicherung</t>
  </si>
  <si>
    <t>1.3</t>
  </si>
  <si>
    <t>Krankenversicherung</t>
  </si>
  <si>
    <t>1.2</t>
  </si>
  <si>
    <t>Rentenversicherung</t>
  </si>
  <si>
    <t>1.1</t>
  </si>
  <si>
    <t>LOHNGEBUNDENE KOSTEN</t>
  </si>
  <si>
    <t>1</t>
  </si>
  <si>
    <t>EURO</t>
  </si>
  <si>
    <t>%</t>
  </si>
  <si>
    <t>Sonntag / Feiertag</t>
  </si>
  <si>
    <t>Innen- und Unterhaltsreinigung lt. Raumbuch</t>
  </si>
  <si>
    <t>Kalkulation der Stundenverrechnungssätze  100% sozialversicherunspflichtiges Personal</t>
  </si>
  <si>
    <t>Vom Anbieter auszufüllen!</t>
  </si>
  <si>
    <t>OP-Bereiche (sämtliche Räume hinter den Schleusen)</t>
  </si>
  <si>
    <t>J1</t>
  </si>
  <si>
    <t>J2</t>
  </si>
  <si>
    <t>M1</t>
  </si>
  <si>
    <t>M2</t>
  </si>
  <si>
    <t>zweimal jährlich reinigen (werktags)</t>
  </si>
  <si>
    <t>einmal jährlich reinigen (werktags)</t>
  </si>
  <si>
    <t>einmal monatlich reinigen (werktags)</t>
  </si>
  <si>
    <t>zweimal täglich reinigen (entfällt an Sonn- und Feiertagen)</t>
  </si>
  <si>
    <t>zweimal täglich reinigen (entfällt an Samstagen, Sonn- und Feiertagen)</t>
  </si>
  <si>
    <t>siebenmal wöchentlich</t>
  </si>
  <si>
    <t>sechsmal wöchentlich reinigen (entfällt an Sonn- und Feiertagen)</t>
  </si>
  <si>
    <t>fünfmal wöchentlich reinigen (Feiertage sind nachzuholen)</t>
  </si>
  <si>
    <t>fünfmal wöchentlich reinigen (entfällt an Samstagen, Sonn- und Feiertagen)</t>
  </si>
  <si>
    <t>5*</t>
  </si>
  <si>
    <t>dreimal wöchentlich (werktags)</t>
  </si>
  <si>
    <t>zweimal wöchentlich (werktags)</t>
  </si>
  <si>
    <t>einmal wöchentlich (werktags)</t>
  </si>
  <si>
    <t>Reinigungshäufigkeit / Monatsfaktor</t>
  </si>
  <si>
    <t>Turnus</t>
  </si>
  <si>
    <t>Objekt / Bereich</t>
  </si>
  <si>
    <t>Min m²/h</t>
  </si>
  <si>
    <t>Max m²/h</t>
  </si>
  <si>
    <t>Eingabe Leistungswert des Bieters</t>
  </si>
  <si>
    <t>variabler Leistungswert m²/h</t>
  </si>
  <si>
    <t>fünfmal wöchentlich reinigen, zusätzlich einmal Sichtreinigung 
(Feiertage sind nachzuholen)</t>
  </si>
  <si>
    <t>zweimal täglich reinigen (Sonntag zweimal Sichtreinigung)</t>
  </si>
  <si>
    <t>Kalendertage</t>
  </si>
  <si>
    <t>Wochen</t>
  </si>
  <si>
    <t>Feiertage</t>
  </si>
  <si>
    <t>Werktag</t>
  </si>
  <si>
    <t>Sonntag</t>
  </si>
  <si>
    <t>GESAMT</t>
  </si>
  <si>
    <t>Monatsfläche GESAMT [m²]</t>
  </si>
  <si>
    <t>Monatsfläche Gesamt</t>
  </si>
  <si>
    <t>Vergabe-fläche [m²]</t>
  </si>
  <si>
    <t>Fläche Gesamt [m²]</t>
  </si>
  <si>
    <t>Vergabe-fläche</t>
  </si>
  <si>
    <t>2*</t>
  </si>
  <si>
    <t>zweimal wöchentlich (Samstag / Sonntag)</t>
  </si>
  <si>
    <t>3*</t>
  </si>
  <si>
    <t>dreimal wöchentlich (2 x Samstag, 1 x Sonntag)</t>
  </si>
  <si>
    <t>ohne Feiertage</t>
  </si>
  <si>
    <t>Unterhaltsreinigung</t>
  </si>
  <si>
    <t>Bemerkungen</t>
  </si>
  <si>
    <t>Brutto</t>
  </si>
  <si>
    <t>Netto</t>
  </si>
  <si>
    <t>Übersicht Stundenverrechnungssätze</t>
  </si>
  <si>
    <t>Wert je m²</t>
  </si>
  <si>
    <t>Wert je Std.</t>
  </si>
  <si>
    <t>Monatsfläche [m²]</t>
  </si>
  <si>
    <t>Monatsstunden [Std.]</t>
  </si>
  <si>
    <t>Los 1</t>
  </si>
  <si>
    <t>NV</t>
  </si>
  <si>
    <t>Leistungswert 
je m²</t>
  </si>
  <si>
    <t>UKA Aussengebäude</t>
  </si>
  <si>
    <t>B1</t>
  </si>
  <si>
    <t>viermal wöchentlich werktags)</t>
  </si>
  <si>
    <t>fünfmal wöchentlich (werktags)</t>
  </si>
  <si>
    <t>Übersicht der Einzelraumbücher</t>
  </si>
  <si>
    <t>Allgemeine Informationen des Anbieters</t>
  </si>
  <si>
    <t>Bitte füllen Sie die nachfolgenden Felder aus.</t>
  </si>
  <si>
    <t>Firma</t>
  </si>
  <si>
    <t>Ansprechpartner</t>
  </si>
  <si>
    <t>Anschrift</t>
  </si>
  <si>
    <t>Email</t>
  </si>
  <si>
    <t>Telefon</t>
  </si>
  <si>
    <t>Angebotsdatum</t>
  </si>
  <si>
    <t>Datum</t>
  </si>
  <si>
    <t>Vorarbeiter/-In</t>
  </si>
  <si>
    <t>Pauschaler Betrag für die Vorarbeiter/-In</t>
  </si>
  <si>
    <t>Stundenverrechnungssatz für Einzelbeauftragungen:</t>
  </si>
  <si>
    <t>6*</t>
  </si>
  <si>
    <t>sechsmal wöchentlich reinigen (inkl. Wochenfeiertage)</t>
  </si>
  <si>
    <t>Erläuterung Spalte RA: V= Reinigung/ NV= nicht Vertragsbestandteil</t>
  </si>
  <si>
    <t>Leistungswertspanne</t>
  </si>
  <si>
    <t>Summe Unterhaltsreinigung pro Monat</t>
  </si>
  <si>
    <t>Sonstige lohngebundene Kosten</t>
  </si>
  <si>
    <t>Sonstige Kosten</t>
  </si>
  <si>
    <t>Gebäude 1 Lehr- und Weiterbildungsgebäude Bio-Medizintechnik</t>
  </si>
  <si>
    <t>Angebotszusammenstellung</t>
  </si>
  <si>
    <t>bearbeitbare Felder</t>
  </si>
  <si>
    <t xml:space="preserve">Summe Unterhaltsreinigung pro Jahr </t>
  </si>
  <si>
    <t>Übersicht Unterhaltsreinigung</t>
  </si>
  <si>
    <t>2.14</t>
  </si>
  <si>
    <t>2.15</t>
  </si>
  <si>
    <t>Zuschläge gemäß Rahmentariffvertrag</t>
  </si>
  <si>
    <t>Sozialversicherung auf RTV-Zuschläge</t>
  </si>
  <si>
    <t>Tariflohn/ Grundlohn 
(Spalte Sonn-/ Feiertage inkl. aller Zuschläge 
[u.A. hohe Feiertage])</t>
  </si>
  <si>
    <t>Gesamtvergabevolumen (Lfz. 5 Jahre; 3 + 2x Option)</t>
  </si>
  <si>
    <t xml:space="preserve">Unter den nachfolgenden Reitern finden Sie die auszufüllenden preisrelevanten Anlagen für die Ausschreibung zur Vergabe der Unterhaltsreinigung für das Universitätsklinikum Aachen. </t>
  </si>
  <si>
    <t>Patientenzimmer mit möglichem Infektionsrisiko</t>
  </si>
  <si>
    <t>Patientenzimmer mit besonderem Infektionsrisiko (Intensiv)</t>
  </si>
  <si>
    <t>A2</t>
  </si>
  <si>
    <t>A3</t>
  </si>
  <si>
    <t>Isolierbereiche</t>
  </si>
  <si>
    <t>Büroräume (geringe Frequentierung)</t>
  </si>
  <si>
    <t>Büroräume (hohe Frequentierung)</t>
  </si>
  <si>
    <t>B2</t>
  </si>
  <si>
    <t>B3</t>
  </si>
  <si>
    <t>Unterrichts- und Schulungsräume</t>
  </si>
  <si>
    <t>D1-1</t>
  </si>
  <si>
    <t>Untersuchungs- und Behandlungsräume mit möglichem Infektionsrisiko (z.B. Ambulanzen, Pflegestützpunkte, Entbindung, Radiologie, Dialyse)</t>
  </si>
  <si>
    <t>D1-2</t>
  </si>
  <si>
    <t>Physikalische Therapie (Bereiche mit möglichem Infektionsrisiko)</t>
  </si>
  <si>
    <t>D2</t>
  </si>
  <si>
    <t>Untersuchungs- und Behandlungsräume mit besonderem Infektionsrisiko (Eingriffsräume, Endoskopie u.ä.)</t>
  </si>
  <si>
    <t>D3</t>
  </si>
  <si>
    <t>Aufbereitungseinheit für Medizinprodukte (z.B. AEMP, ZSVA)</t>
  </si>
  <si>
    <t>D4-1</t>
  </si>
  <si>
    <t>Ver- und Entsorgung— reine Arbeitsräume</t>
  </si>
  <si>
    <t>D4-2</t>
  </si>
  <si>
    <t>Ver- und Entsorgung— unreine Arbeitsräume</t>
  </si>
  <si>
    <t>D5</t>
  </si>
  <si>
    <t>Bereiche, in denen vor allem für das Personal ein Infektionsrisiko besteht (Laboratorien, Pathologie)</t>
  </si>
  <si>
    <t>Sanitärräume (Toilette, Dusche, Bad, Wickelraum)</t>
  </si>
  <si>
    <t>Verkehrsflächen innerhalb von Stations-/Funktionsbereich</t>
  </si>
  <si>
    <t>F1-1</t>
  </si>
  <si>
    <t>F1-2</t>
  </si>
  <si>
    <t>Verkehrsflächen außerhalb von Stations-/Funktionsbereichen sowie Eingangshallen und Windfänge</t>
  </si>
  <si>
    <t>F2-1</t>
  </si>
  <si>
    <t>Treppen und Treppenhäuser einschließlich Aufzüge (geringe Frequentierung)</t>
  </si>
  <si>
    <t>F2-2</t>
  </si>
  <si>
    <t>Treppen und Treppenhäuser einschließlich Aufzüge (hohe Frequentierung)</t>
  </si>
  <si>
    <t>Umkleideräume</t>
  </si>
  <si>
    <t>H1</t>
  </si>
  <si>
    <t>Sozialbereiche wie Kantine, Speiseräume, Cafeteria, Teeküchen</t>
  </si>
  <si>
    <t>H2</t>
  </si>
  <si>
    <t>Aufenthalts- und Gemeinschaftsräume, Bereitschaftsräume</t>
  </si>
  <si>
    <t>H3</t>
  </si>
  <si>
    <t>Bibliotheken, Leseräume, Andachtsräume und Kapellen</t>
  </si>
  <si>
    <t>I1</t>
  </si>
  <si>
    <t>Lagerräume allgemein (geringe Frequentierung)</t>
  </si>
  <si>
    <t>I2</t>
  </si>
  <si>
    <t>Lagerräume mit starker Frequentierung bzw. mit besonderem hygienischen Anspruch</t>
  </si>
  <si>
    <t>I3</t>
  </si>
  <si>
    <t>Entsorgungsräume (z.B. Abfall, kontaminierte Medizinprodukte, Schmutzwäsche)</t>
  </si>
  <si>
    <t>Technikräume— Gebäudeleittechnik</t>
  </si>
  <si>
    <t>Technikräume— Werkstätten</t>
  </si>
  <si>
    <t>K</t>
  </si>
  <si>
    <t>Außenbereiche— Gebäudenahe Zugangs- und Aufenthaltsflächen sowie Balkone, Loggien, Dachterrassen</t>
  </si>
  <si>
    <t>Raumgruppe (gem. DIN 13063:2021-09)</t>
  </si>
  <si>
    <t>F1-1-1</t>
  </si>
  <si>
    <t>Verkehrsflächen innerhalb von Stations-/Funktionsbereich maschinelle Reinigung</t>
  </si>
  <si>
    <t>F1-2-1</t>
  </si>
  <si>
    <t>Verkehrsflächen außerhalb von Stations-/Funktionsbereichen sowie Eingangshallen und Windfänge maschinelle Reinigung</t>
  </si>
  <si>
    <t>UKA2024</t>
  </si>
  <si>
    <t>Raumbuch inkl. Kalkulation "Gebäude IZDM" Stand 10.04.2025</t>
  </si>
  <si>
    <t>Netto ab 01.10.2025</t>
  </si>
  <si>
    <t>Brutto ab 01.10.2025</t>
  </si>
  <si>
    <r>
      <t xml:space="preserve">Vergabeunterlagen zur Ausschreibung:
Ausschreibung zur Vergabe der Unterhaltsreinigung des Gebäudes </t>
    </r>
    <r>
      <rPr>
        <b/>
        <i/>
        <sz val="16"/>
        <color rgb="FF000000"/>
        <rFont val="Arial"/>
        <family val="2"/>
      </rPr>
      <t>"Innovationszentrum Digitale Medizin + Bildungsakademie</t>
    </r>
    <r>
      <rPr>
        <b/>
        <sz val="16"/>
        <color indexed="8"/>
        <rFont val="Arial"/>
        <family val="2"/>
      </rPr>
      <t xml:space="preserve"> (IZDM)" für das Universitätsklinikum Aachen -Anstalt des öffentlichen Rechts</t>
    </r>
  </si>
  <si>
    <t>Untergeschoss</t>
  </si>
  <si>
    <t>Alle</t>
  </si>
  <si>
    <t xml:space="preserve">01 </t>
  </si>
  <si>
    <t>Fahrräder</t>
  </si>
  <si>
    <t>Beschichtung</t>
  </si>
  <si>
    <t>02</t>
  </si>
  <si>
    <t xml:space="preserve">Lager </t>
  </si>
  <si>
    <t>03</t>
  </si>
  <si>
    <t>Vorraum</t>
  </si>
  <si>
    <t>04</t>
  </si>
  <si>
    <t xml:space="preserve">Umkleide </t>
  </si>
  <si>
    <t>Fliesen</t>
  </si>
  <si>
    <t>05</t>
  </si>
  <si>
    <t>264.2</t>
  </si>
  <si>
    <t>Kälte + Heizung</t>
  </si>
  <si>
    <t>J</t>
  </si>
  <si>
    <t>Technik</t>
  </si>
  <si>
    <t>06</t>
  </si>
  <si>
    <t>07</t>
  </si>
  <si>
    <t>08</t>
  </si>
  <si>
    <t xml:space="preserve">Technik ELT </t>
  </si>
  <si>
    <t xml:space="preserve">09 </t>
  </si>
  <si>
    <t>Technik Sprinklerzentrale</t>
  </si>
  <si>
    <t>10</t>
  </si>
  <si>
    <t>Sprinklertank</t>
  </si>
  <si>
    <t xml:space="preserve">11 </t>
  </si>
  <si>
    <t>Druckseite</t>
  </si>
  <si>
    <t>12</t>
  </si>
  <si>
    <t>Saugseite</t>
  </si>
  <si>
    <t>13</t>
  </si>
  <si>
    <t>Geräteraum</t>
  </si>
  <si>
    <t>14</t>
  </si>
  <si>
    <t>ELT Zähler</t>
  </si>
  <si>
    <t>15</t>
  </si>
  <si>
    <t xml:space="preserve">EDC Hauptzentrale </t>
  </si>
  <si>
    <t>16</t>
  </si>
  <si>
    <t xml:space="preserve">USV </t>
  </si>
  <si>
    <t>17</t>
  </si>
  <si>
    <t>BMA</t>
  </si>
  <si>
    <t>18</t>
  </si>
  <si>
    <t>SAA</t>
  </si>
  <si>
    <t>19</t>
  </si>
  <si>
    <t>SiBE</t>
  </si>
  <si>
    <t>20</t>
  </si>
  <si>
    <t>Schaltraum</t>
  </si>
  <si>
    <t>21</t>
  </si>
  <si>
    <t>Außenluft</t>
  </si>
  <si>
    <t>22</t>
  </si>
  <si>
    <t>23</t>
  </si>
  <si>
    <t xml:space="preserve">Flur </t>
  </si>
  <si>
    <t>24</t>
  </si>
  <si>
    <t>ZBV</t>
  </si>
  <si>
    <t>25</t>
  </si>
  <si>
    <t>26</t>
  </si>
  <si>
    <t xml:space="preserve">27 </t>
  </si>
  <si>
    <t>28</t>
  </si>
  <si>
    <t>Reinigungsmittel</t>
  </si>
  <si>
    <t xml:space="preserve">? </t>
  </si>
  <si>
    <t>29</t>
  </si>
  <si>
    <t xml:space="preserve">Umkleide Lager </t>
  </si>
  <si>
    <t>30</t>
  </si>
  <si>
    <t>Technik Lüftung</t>
  </si>
  <si>
    <t>TH1-01</t>
  </si>
  <si>
    <t xml:space="preserve">Treppenhaus </t>
  </si>
  <si>
    <t>Betonwerkstein</t>
  </si>
  <si>
    <t>TH1-02</t>
  </si>
  <si>
    <t>Schleuse</t>
  </si>
  <si>
    <t>TH1-03</t>
  </si>
  <si>
    <t>TH1-04</t>
  </si>
  <si>
    <t>TH2-01</t>
  </si>
  <si>
    <t>TH2-02</t>
  </si>
  <si>
    <t>TH2-03</t>
  </si>
  <si>
    <t>VF01</t>
  </si>
  <si>
    <t xml:space="preserve">Verkehsfläche </t>
  </si>
  <si>
    <t>TH4-01</t>
  </si>
  <si>
    <t>TH4-02</t>
  </si>
  <si>
    <t>33.4</t>
  </si>
  <si>
    <t>Trinkwasserraum</t>
  </si>
  <si>
    <t>Hausanschluss</t>
  </si>
  <si>
    <t>MSHV+NSHV</t>
  </si>
  <si>
    <t>Haustechnik</t>
  </si>
  <si>
    <t>09</t>
  </si>
  <si>
    <t>Müllraum</t>
  </si>
  <si>
    <t>11</t>
  </si>
  <si>
    <t>27</t>
  </si>
  <si>
    <t>08.1</t>
  </si>
  <si>
    <t>A01</t>
  </si>
  <si>
    <t>Aufzug</t>
  </si>
  <si>
    <t>A02</t>
  </si>
  <si>
    <t>A03</t>
  </si>
  <si>
    <t>A04</t>
  </si>
  <si>
    <t>A06</t>
  </si>
  <si>
    <t>Aufzug optional</t>
  </si>
  <si>
    <t>TH4-1</t>
  </si>
  <si>
    <t>Treppenhaus</t>
  </si>
  <si>
    <t>TH4-2</t>
  </si>
  <si>
    <t>Telemedizin</t>
  </si>
  <si>
    <t>0E</t>
  </si>
  <si>
    <t>Center Nursing Care</t>
  </si>
  <si>
    <t>F01</t>
  </si>
  <si>
    <t>Teppich</t>
  </si>
  <si>
    <t>Hebammenakademie</t>
  </si>
  <si>
    <t>HEB01</t>
  </si>
  <si>
    <t>Leitungsbüro</t>
  </si>
  <si>
    <t xml:space="preserve">N01 </t>
  </si>
  <si>
    <t>N02</t>
  </si>
  <si>
    <t>Sekretariat</t>
  </si>
  <si>
    <t>N04</t>
  </si>
  <si>
    <t>Aktionsfläche</t>
  </si>
  <si>
    <t>N06</t>
  </si>
  <si>
    <t>Teeküche</t>
  </si>
  <si>
    <t>N07</t>
  </si>
  <si>
    <t>Linoleum</t>
  </si>
  <si>
    <t>S11</t>
  </si>
  <si>
    <t>WC Herren</t>
  </si>
  <si>
    <t>S12</t>
  </si>
  <si>
    <t>WC Damen</t>
  </si>
  <si>
    <t>TH03-01</t>
  </si>
  <si>
    <t>Aufzugsvorraum</t>
  </si>
  <si>
    <t>IZDM+TMZ</t>
  </si>
  <si>
    <t>TM.01</t>
  </si>
  <si>
    <t xml:space="preserve">Windfang </t>
  </si>
  <si>
    <t>TM.02</t>
  </si>
  <si>
    <t>Empfang</t>
  </si>
  <si>
    <t>TM.03</t>
  </si>
  <si>
    <t>Backoffice/Teeküche</t>
  </si>
  <si>
    <t>TM.04</t>
  </si>
  <si>
    <t>Lager/2.Büro</t>
  </si>
  <si>
    <t>Digitale Allgemeinmedizin</t>
  </si>
  <si>
    <t>F-01</t>
  </si>
  <si>
    <t>IZDM+Tm11</t>
  </si>
  <si>
    <t>Multifunktionsraum</t>
  </si>
  <si>
    <t>Teppich/Linoleum</t>
  </si>
  <si>
    <t>S14</t>
  </si>
  <si>
    <t>Dusche</t>
  </si>
  <si>
    <t>Fliese</t>
  </si>
  <si>
    <t>S17</t>
  </si>
  <si>
    <t>Pumi</t>
  </si>
  <si>
    <t>IZDM08</t>
  </si>
  <si>
    <t>Büro</t>
  </si>
  <si>
    <t>IZDM09</t>
  </si>
  <si>
    <t>IZDM13</t>
  </si>
  <si>
    <t>IZDM16</t>
  </si>
  <si>
    <t>TM26</t>
  </si>
  <si>
    <t>Lounge</t>
  </si>
  <si>
    <t>GB-IT</t>
  </si>
  <si>
    <t>S16</t>
  </si>
  <si>
    <t>Server</t>
  </si>
  <si>
    <t>IZDM10</t>
  </si>
  <si>
    <t>F02</t>
  </si>
  <si>
    <t>TM 04</t>
  </si>
  <si>
    <t>TM 03</t>
  </si>
  <si>
    <t>S15</t>
  </si>
  <si>
    <t>S13</t>
  </si>
  <si>
    <t>WC Behinderte</t>
  </si>
  <si>
    <t>F03</t>
  </si>
  <si>
    <t>TH3-01</t>
  </si>
  <si>
    <t>PuMi</t>
  </si>
  <si>
    <t>TM.14</t>
  </si>
  <si>
    <t>Visitenraum</t>
  </si>
  <si>
    <t>Anästhesie</t>
  </si>
  <si>
    <t>TM05</t>
  </si>
  <si>
    <t>TM06</t>
  </si>
  <si>
    <t>TM07</t>
  </si>
  <si>
    <t>TM12</t>
  </si>
  <si>
    <t>Besprechungsraum</t>
  </si>
  <si>
    <t>TM15</t>
  </si>
  <si>
    <t>TM16</t>
  </si>
  <si>
    <t>TM17</t>
  </si>
  <si>
    <t>TM18</t>
  </si>
  <si>
    <t>TM19</t>
  </si>
  <si>
    <t>TM20</t>
  </si>
  <si>
    <t>TM51.1</t>
  </si>
  <si>
    <t>MSR</t>
  </si>
  <si>
    <t>ERN ACT</t>
  </si>
  <si>
    <t>TM22</t>
  </si>
  <si>
    <t>Thalea Kontrollraum</t>
  </si>
  <si>
    <t>TM23</t>
  </si>
  <si>
    <t>TM24</t>
  </si>
  <si>
    <t>TM25</t>
  </si>
  <si>
    <t>TM26.1</t>
  </si>
  <si>
    <t>Bereitschaftsdienst</t>
  </si>
  <si>
    <t>TM26.2</t>
  </si>
  <si>
    <t>ZDM27</t>
  </si>
  <si>
    <t>IT Solutions</t>
  </si>
  <si>
    <t>ZDM28</t>
  </si>
  <si>
    <t>IZDM 26</t>
  </si>
  <si>
    <t>IZDM 29.1</t>
  </si>
  <si>
    <t>IZDM 29.2</t>
  </si>
  <si>
    <t>IZDM 30.1</t>
  </si>
  <si>
    <t>IZDM 30.2</t>
  </si>
  <si>
    <t>IZDM 31</t>
  </si>
  <si>
    <t>IZDM 32</t>
  </si>
  <si>
    <t>IZDM 33</t>
  </si>
  <si>
    <t>IZDM 34</t>
  </si>
  <si>
    <t>IZDM 39.1</t>
  </si>
  <si>
    <t>IZDM 39.2</t>
  </si>
  <si>
    <t>IZDM 40.1</t>
  </si>
  <si>
    <t>IZDM 42</t>
  </si>
  <si>
    <t>IZDM 51</t>
  </si>
  <si>
    <t>JRS</t>
  </si>
  <si>
    <t xml:space="preserve">IZDM 35 </t>
  </si>
  <si>
    <t>IZDM 36</t>
  </si>
  <si>
    <t>IZDM 38</t>
  </si>
  <si>
    <t>IZDM 41</t>
  </si>
  <si>
    <t>IZDM 43</t>
  </si>
  <si>
    <t>IZDM 44</t>
  </si>
  <si>
    <t>IZDM 46</t>
  </si>
  <si>
    <t>IZDM 47</t>
  </si>
  <si>
    <t>Konferenzraum</t>
  </si>
  <si>
    <t xml:space="preserve">S16 </t>
  </si>
  <si>
    <t>ELT</t>
  </si>
  <si>
    <t>Parkett</t>
  </si>
  <si>
    <t>MSR+ELT</t>
  </si>
  <si>
    <t>IZDM/TMZ</t>
  </si>
  <si>
    <t>IZDM+TM57</t>
  </si>
  <si>
    <t>IZDM+TM56</t>
  </si>
  <si>
    <t>IZDM+TM52</t>
  </si>
  <si>
    <t>IZDM+TM53</t>
  </si>
  <si>
    <t>Küche</t>
  </si>
  <si>
    <t>IZDM+TM58</t>
  </si>
  <si>
    <t>IZDM+TM55</t>
  </si>
  <si>
    <t>IZDM+TM54</t>
  </si>
  <si>
    <t>Lager</t>
  </si>
  <si>
    <t>Riegel</t>
  </si>
  <si>
    <t>Schule f. Gesundheitspflege</t>
  </si>
  <si>
    <t>S41</t>
  </si>
  <si>
    <t>1.Hilfe/Liege/Stillraum</t>
  </si>
  <si>
    <t>S05</t>
  </si>
  <si>
    <t>S06</t>
  </si>
  <si>
    <t>S10</t>
  </si>
  <si>
    <t>SGK25</t>
  </si>
  <si>
    <t>Umkleide</t>
  </si>
  <si>
    <t>SGK26</t>
  </si>
  <si>
    <t>SGK24.1</t>
  </si>
  <si>
    <t>Bewegungsraum</t>
  </si>
  <si>
    <t>SGK24,2</t>
  </si>
  <si>
    <t>SGK10.2</t>
  </si>
  <si>
    <t>N05</t>
  </si>
  <si>
    <t>Werkstattraum</t>
  </si>
  <si>
    <t>TH3</t>
  </si>
  <si>
    <t>SGK12</t>
  </si>
  <si>
    <t>Kursraum</t>
  </si>
  <si>
    <t>SGK13</t>
  </si>
  <si>
    <t>S03</t>
  </si>
  <si>
    <t>S01</t>
  </si>
  <si>
    <t>Windfang</t>
  </si>
  <si>
    <t>S02</t>
  </si>
  <si>
    <t>SGK30.1</t>
  </si>
  <si>
    <t>S04</t>
  </si>
  <si>
    <t>Ruhearbeitsplatz</t>
  </si>
  <si>
    <t>SGK14</t>
  </si>
  <si>
    <t>SGK15</t>
  </si>
  <si>
    <t>S42.1</t>
  </si>
  <si>
    <t>S42,2</t>
  </si>
  <si>
    <t>TH4</t>
  </si>
  <si>
    <t>F04</t>
  </si>
  <si>
    <t>SGK16</t>
  </si>
  <si>
    <t>SGK17</t>
  </si>
  <si>
    <t>SGK18</t>
  </si>
  <si>
    <t>F05</t>
  </si>
  <si>
    <t>Archiv</t>
  </si>
  <si>
    <t>S08</t>
  </si>
  <si>
    <t>S07</t>
  </si>
  <si>
    <t>S09</t>
  </si>
  <si>
    <t>SGK27</t>
  </si>
  <si>
    <t>Gruppenraum</t>
  </si>
  <si>
    <t>SGK9.2</t>
  </si>
  <si>
    <t>SGK9.1</t>
  </si>
  <si>
    <t>SGK11</t>
  </si>
  <si>
    <t>SGK02</t>
  </si>
  <si>
    <t>SGK01</t>
  </si>
  <si>
    <t>SGK31</t>
  </si>
  <si>
    <t>SGK04</t>
  </si>
  <si>
    <t>SGK05</t>
  </si>
  <si>
    <t>SGK06</t>
  </si>
  <si>
    <t>SGK07</t>
  </si>
  <si>
    <t>SGK08</t>
  </si>
  <si>
    <t>F06</t>
  </si>
  <si>
    <t>SGK29</t>
  </si>
  <si>
    <t>Bibliothek</t>
  </si>
  <si>
    <t>SGK19</t>
  </si>
  <si>
    <t>SGK22</t>
  </si>
  <si>
    <t>Übungsraum</t>
  </si>
  <si>
    <t>SGK23</t>
  </si>
  <si>
    <t>OTA</t>
  </si>
  <si>
    <t>OTA33</t>
  </si>
  <si>
    <t>S42.2</t>
  </si>
  <si>
    <t>SGK30.2</t>
  </si>
  <si>
    <t>OTA34</t>
  </si>
  <si>
    <t>F08</t>
  </si>
  <si>
    <t>F07</t>
  </si>
  <si>
    <t>SGK20</t>
  </si>
  <si>
    <t>SGK21</t>
  </si>
  <si>
    <t>SGK28</t>
  </si>
  <si>
    <t>OTA35</t>
  </si>
  <si>
    <t>OTA32</t>
  </si>
  <si>
    <t>OTA39</t>
  </si>
  <si>
    <t>VK01</t>
  </si>
  <si>
    <t>IMI04</t>
  </si>
  <si>
    <t>IMI07</t>
  </si>
  <si>
    <t>N08</t>
  </si>
  <si>
    <t>VK05</t>
  </si>
  <si>
    <t>VK04</t>
  </si>
  <si>
    <t xml:space="preserve">Institut für medizinische Informatik </t>
  </si>
  <si>
    <t>IMI11</t>
  </si>
  <si>
    <t>Zentrum für Intensivmedizin</t>
  </si>
  <si>
    <t>VK07</t>
  </si>
  <si>
    <t>VK03</t>
  </si>
  <si>
    <t>VK02</t>
  </si>
  <si>
    <t>IZDM+TM13</t>
  </si>
  <si>
    <t>Living Lab</t>
  </si>
  <si>
    <t>IZDM+TM51.2</t>
  </si>
  <si>
    <t>HEB13</t>
  </si>
  <si>
    <t>HEB04</t>
  </si>
  <si>
    <t>HEB05</t>
  </si>
  <si>
    <t>Unterrichtsraum</t>
  </si>
  <si>
    <t>HEB06</t>
  </si>
  <si>
    <t>HEB03</t>
  </si>
  <si>
    <t>HEB09</t>
  </si>
  <si>
    <t>N03</t>
  </si>
  <si>
    <t>HEB07</t>
  </si>
  <si>
    <t>OTA36</t>
  </si>
  <si>
    <t>HEB08</t>
  </si>
  <si>
    <t>GB-Service</t>
  </si>
  <si>
    <t>HEB11</t>
  </si>
  <si>
    <t>OTA38</t>
  </si>
  <si>
    <t>IMI06</t>
  </si>
  <si>
    <t>IMI03</t>
  </si>
  <si>
    <t>IMI02</t>
  </si>
  <si>
    <t>IMI01</t>
  </si>
  <si>
    <t>IMI05</t>
  </si>
  <si>
    <t>Innovationszentrum für Digitale Medizin</t>
  </si>
  <si>
    <t>IZDM48</t>
  </si>
  <si>
    <t>IZDM50.3</t>
  </si>
  <si>
    <t>IZDM49</t>
  </si>
  <si>
    <t>IZDM52</t>
  </si>
  <si>
    <t>IZDM53</t>
  </si>
  <si>
    <t>IZDM50.1</t>
  </si>
  <si>
    <t>IZDM50.2</t>
  </si>
  <si>
    <t>Personalentwicklung</t>
  </si>
  <si>
    <t>PE03</t>
  </si>
  <si>
    <t>PE14</t>
  </si>
  <si>
    <t>PE05.1</t>
  </si>
  <si>
    <t>PE05.2</t>
  </si>
  <si>
    <t>PE02</t>
  </si>
  <si>
    <t>PE11</t>
  </si>
  <si>
    <t>PE10</t>
  </si>
  <si>
    <t>OTA37</t>
  </si>
  <si>
    <t>PE13</t>
  </si>
  <si>
    <t>PE04</t>
  </si>
  <si>
    <t>Th4</t>
  </si>
  <si>
    <t>PE12</t>
  </si>
  <si>
    <t>PE09</t>
  </si>
  <si>
    <t>PE08</t>
  </si>
  <si>
    <t>PE06</t>
  </si>
  <si>
    <t>PE01</t>
  </si>
  <si>
    <t>PE07</t>
  </si>
  <si>
    <t>NB</t>
  </si>
  <si>
    <t>Nach Bedarf und auf gesonderte Anforderung</t>
  </si>
  <si>
    <t>Q1</t>
  </si>
  <si>
    <t>einmal im Quartal reinigen (werktags)</t>
  </si>
  <si>
    <t>Transportzeiten für Feuchtwischbezüge 
2 x wöchentlich</t>
  </si>
  <si>
    <t>Anlage 1 Angebotspreis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</si>
</sst>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0\ _D_M_-;\-* #,##0.00\ _D_M_-;_-* &quot;-&quot;??\ _D_M_-;_-@_-"/>
    <numFmt numFmtId="166" formatCode="_-* #,##0.00\ [$€]_-;\-* #,##0.00\ [$€]_-;_-* &quot;-&quot;??\ [$€]_-;_-@_-"/>
    <numFmt numFmtId="167" formatCode="_-* #,##0.000\ [$€]_-;\-* #,##0.000\ [$€]_-;_-* &quot;-&quot;??\ [$€]_-;_-@_-"/>
    <numFmt numFmtId="168" formatCode="_-* #,##0.00\ [$€-407]_-;\-* #,##0.00\ [$€-407]_-;_-* &quot;-&quot;??\ [$€-407]_-;_-@_-"/>
    <numFmt numFmtId="169" formatCode="0.0%"/>
    <numFmt numFmtId="170" formatCode="0.000"/>
    <numFmt numFmtId="171" formatCode="0\ &quot;m²/h&quot;"/>
    <numFmt numFmtId="172" formatCode="#,##0.00\ [$€-407]"/>
    <numFmt numFmtId="173" formatCode="_-* #,##0.000\ [$€-407]_-;\-* #,##0.000\ [$€-407]_-;_-* &quot;-&quot;??\ [$€-407]_-;_-@_-"/>
    <numFmt numFmtId="174" formatCode="0.0"/>
    <numFmt numFmtId="175" formatCode="0.00\ &quot;Std/ Monat&quot;"/>
    <numFmt numFmtId="176" formatCode="#,##0.00_ ;\-#,##0.00\ "/>
    <numFmt numFmtId="177" formatCode="#,##0.00\ &quot;m²/Std.&quot;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FuturaT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Frutiger 55 Roman"/>
      <family val="2"/>
    </font>
    <font>
      <b/>
      <sz val="14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i/>
      <sz val="12"/>
      <color indexed="8"/>
      <name val="Arial"/>
      <family val="2"/>
    </font>
    <font>
      <sz val="10"/>
      <name val="Arial"/>
      <family val="2"/>
    </font>
    <font>
      <sz val="11"/>
      <color theme="0" tint="-0.34998626667073579"/>
      <name val="Arial"/>
      <family val="2"/>
    </font>
    <font>
      <b/>
      <i/>
      <sz val="16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6" fontId="11" fillId="0" borderId="0" applyFont="0" applyFill="0" applyBorder="0" applyAlignment="0" applyProtection="0"/>
    <xf numFmtId="0" fontId="15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5" fillId="0" borderId="0"/>
    <xf numFmtId="0" fontId="12" fillId="0" borderId="0"/>
    <xf numFmtId="0" fontId="11" fillId="0" borderId="0"/>
    <xf numFmtId="9" fontId="11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10" fillId="0" borderId="0"/>
    <xf numFmtId="164" fontId="36" fillId="0" borderId="0" applyFont="0" applyFill="0" applyBorder="0" applyAlignment="0" applyProtection="0"/>
    <xf numFmtId="0" fontId="11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5" fillId="0" borderId="0"/>
    <xf numFmtId="0" fontId="4" fillId="0" borderId="0"/>
    <xf numFmtId="44" fontId="47" fillId="0" borderId="0" applyFont="0" applyFill="0" applyBorder="0" applyAlignment="0" applyProtection="0"/>
  </cellStyleXfs>
  <cellXfs count="447">
    <xf numFmtId="0" fontId="0" fillId="0" borderId="0" xfId="0"/>
    <xf numFmtId="0" fontId="17" fillId="0" borderId="0" xfId="4" applyFont="1" applyAlignment="1" applyProtection="1">
      <alignment horizontal="left"/>
    </xf>
    <xf numFmtId="4" fontId="13" fillId="2" borderId="10" xfId="0" applyNumberFormat="1" applyFont="1" applyFill="1" applyBorder="1" applyAlignment="1" applyProtection="1">
      <alignment horizontal="center" vertical="top" wrapText="1"/>
    </xf>
    <xf numFmtId="4" fontId="14" fillId="0" borderId="11" xfId="0" applyNumberFormat="1" applyFont="1" applyFill="1" applyBorder="1" applyAlignment="1" applyProtection="1">
      <alignment horizontal="right"/>
    </xf>
    <xf numFmtId="2" fontId="14" fillId="0" borderId="12" xfId="0" applyNumberFormat="1" applyFont="1" applyFill="1" applyBorder="1" applyAlignment="1" applyProtection="1">
      <alignment horizontal="right"/>
    </xf>
    <xf numFmtId="0" fontId="15" fillId="0" borderId="0" xfId="4" applyFont="1" applyAlignment="1" applyProtection="1">
      <alignment horizontal="center"/>
    </xf>
    <xf numFmtId="0" fontId="15" fillId="0" borderId="0" xfId="4" applyFont="1" applyAlignment="1" applyProtection="1">
      <alignment horizontal="right"/>
    </xf>
    <xf numFmtId="167" fontId="15" fillId="0" borderId="0" xfId="2" applyNumberFormat="1" applyFont="1" applyAlignment="1" applyProtection="1">
      <alignment horizontal="left"/>
    </xf>
    <xf numFmtId="0" fontId="15" fillId="0" borderId="0" xfId="4" applyFont="1" applyAlignment="1" applyProtection="1"/>
    <xf numFmtId="0" fontId="13" fillId="2" borderId="15" xfId="0" applyFont="1" applyFill="1" applyBorder="1" applyAlignment="1" applyProtection="1">
      <alignment horizontal="center" vertical="top" wrapText="1"/>
    </xf>
    <xf numFmtId="0" fontId="13" fillId="2" borderId="10" xfId="0" applyFont="1" applyFill="1" applyBorder="1" applyAlignment="1" applyProtection="1">
      <alignment horizontal="center" vertical="top" wrapText="1"/>
    </xf>
    <xf numFmtId="0" fontId="14" fillId="0" borderId="16" xfId="0" applyFont="1" applyFill="1" applyBorder="1" applyAlignment="1" applyProtection="1">
      <alignment horizontal="center"/>
    </xf>
    <xf numFmtId="0" fontId="14" fillId="0" borderId="11" xfId="0" applyFont="1" applyFill="1" applyBorder="1" applyAlignment="1" applyProtection="1">
      <alignment horizontal="center"/>
    </xf>
    <xf numFmtId="167" fontId="14" fillId="0" borderId="11" xfId="2" applyNumberFormat="1" applyFont="1" applyFill="1" applyBorder="1" applyAlignment="1" applyProtection="1">
      <alignment horizontal="left"/>
    </xf>
    <xf numFmtId="0" fontId="14" fillId="0" borderId="11" xfId="0" applyFont="1" applyFill="1" applyBorder="1" applyAlignment="1" applyProtection="1"/>
    <xf numFmtId="3" fontId="16" fillId="0" borderId="11" xfId="5" applyNumberFormat="1" applyFont="1" applyFill="1" applyBorder="1" applyAlignment="1" applyProtection="1">
      <alignment horizontal="center" vertical="center"/>
    </xf>
    <xf numFmtId="0" fontId="16" fillId="0" borderId="11" xfId="5" applyFont="1" applyFill="1" applyBorder="1" applyAlignment="1" applyProtection="1">
      <alignment horizontal="center" vertical="center"/>
    </xf>
    <xf numFmtId="0" fontId="14" fillId="0" borderId="12" xfId="0" applyFont="1" applyFill="1" applyBorder="1" applyAlignment="1" applyProtection="1">
      <alignment horizontal="center"/>
    </xf>
    <xf numFmtId="0" fontId="14" fillId="0" borderId="12" xfId="0" applyFont="1" applyFill="1" applyBorder="1" applyAlignment="1" applyProtection="1">
      <alignment horizontal="right"/>
    </xf>
    <xf numFmtId="167" fontId="14" fillId="0" borderId="12" xfId="2" applyNumberFormat="1" applyFont="1" applyFill="1" applyBorder="1" applyAlignment="1" applyProtection="1">
      <alignment horizontal="left"/>
    </xf>
    <xf numFmtId="0" fontId="14" fillId="0" borderId="12" xfId="0" applyFont="1" applyFill="1" applyBorder="1" applyAlignment="1" applyProtection="1"/>
    <xf numFmtId="3" fontId="16" fillId="0" borderId="12" xfId="5" applyNumberFormat="1" applyFont="1" applyFill="1" applyBorder="1" applyAlignment="1" applyProtection="1">
      <alignment horizontal="center" vertical="center"/>
    </xf>
    <xf numFmtId="0" fontId="16" fillId="0" borderId="12" xfId="5" applyFont="1" applyFill="1" applyBorder="1" applyAlignment="1" applyProtection="1">
      <alignment horizontal="center" vertical="center"/>
    </xf>
    <xf numFmtId="2" fontId="14" fillId="0" borderId="12" xfId="0" applyNumberFormat="1" applyFont="1" applyFill="1" applyBorder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15" fillId="0" borderId="0" xfId="0" applyFont="1" applyProtection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right"/>
    </xf>
    <xf numFmtId="167" fontId="15" fillId="0" borderId="0" xfId="0" applyNumberFormat="1" applyFont="1" applyAlignment="1" applyProtection="1">
      <alignment horizontal="left"/>
    </xf>
    <xf numFmtId="0" fontId="15" fillId="0" borderId="0" xfId="0" applyFont="1" applyAlignment="1" applyProtection="1"/>
    <xf numFmtId="2" fontId="15" fillId="0" borderId="0" xfId="4" applyNumberFormat="1" applyFont="1" applyAlignment="1" applyProtection="1">
      <alignment horizontal="center"/>
    </xf>
    <xf numFmtId="2" fontId="15" fillId="0" borderId="0" xfId="4" applyNumberFormat="1" applyFont="1" applyAlignment="1" applyProtection="1"/>
    <xf numFmtId="0" fontId="15" fillId="0" borderId="0" xfId="0" applyFont="1" applyAlignment="1" applyProtection="1">
      <alignment horizontal="center" wrapText="1"/>
    </xf>
    <xf numFmtId="2" fontId="15" fillId="0" borderId="0" xfId="0" applyNumberFormat="1" applyFont="1" applyAlignment="1" applyProtection="1">
      <alignment horizontal="center"/>
    </xf>
    <xf numFmtId="0" fontId="21" fillId="0" borderId="0" xfId="4" applyFont="1" applyAlignment="1" applyProtection="1">
      <alignment horizontal="left" vertical="center"/>
    </xf>
    <xf numFmtId="0" fontId="22" fillId="0" borderId="0" xfId="0" applyFont="1" applyProtection="1"/>
    <xf numFmtId="0" fontId="24" fillId="0" borderId="0" xfId="6" applyFont="1" applyAlignment="1">
      <alignment vertical="center" wrapText="1"/>
    </xf>
    <xf numFmtId="168" fontId="24" fillId="0" borderId="0" xfId="6" applyNumberFormat="1" applyFont="1" applyFill="1" applyBorder="1" applyAlignment="1">
      <alignment vertical="center" wrapText="1"/>
    </xf>
    <xf numFmtId="168" fontId="24" fillId="0" borderId="0" xfId="6" applyNumberFormat="1" applyFont="1" applyAlignment="1">
      <alignment vertical="center" wrapText="1"/>
    </xf>
    <xf numFmtId="49" fontId="24" fillId="0" borderId="0" xfId="6" applyNumberFormat="1" applyFont="1" applyAlignment="1">
      <alignment horizontal="center" vertical="center" wrapText="1"/>
    </xf>
    <xf numFmtId="168" fontId="24" fillId="4" borderId="17" xfId="6" applyNumberFormat="1" applyFont="1" applyFill="1" applyBorder="1" applyAlignment="1">
      <alignment horizontal="center" vertical="center" wrapText="1"/>
    </xf>
    <xf numFmtId="169" fontId="24" fillId="4" borderId="17" xfId="7" applyNumberFormat="1" applyFont="1" applyFill="1" applyBorder="1" applyAlignment="1">
      <alignment horizontal="center" vertical="center" wrapText="1"/>
    </xf>
    <xf numFmtId="168" fontId="24" fillId="0" borderId="0" xfId="6" applyNumberFormat="1" applyFont="1" applyFill="1" applyBorder="1" applyAlignment="1">
      <alignment horizontal="center" vertical="center" wrapText="1"/>
    </xf>
    <xf numFmtId="168" fontId="24" fillId="4" borderId="20" xfId="6" applyNumberFormat="1" applyFont="1" applyFill="1" applyBorder="1" applyAlignment="1">
      <alignment horizontal="center" vertical="center" wrapText="1"/>
    </xf>
    <xf numFmtId="9" fontId="24" fillId="4" borderId="20" xfId="7" applyFont="1" applyFill="1" applyBorder="1" applyAlignment="1">
      <alignment horizontal="center" vertical="center" wrapText="1"/>
    </xf>
    <xf numFmtId="168" fontId="24" fillId="0" borderId="20" xfId="6" applyNumberFormat="1" applyFont="1" applyFill="1" applyBorder="1" applyAlignment="1">
      <alignment horizontal="center" vertical="center" wrapText="1"/>
    </xf>
    <xf numFmtId="9" fontId="24" fillId="0" borderId="20" xfId="7" applyFont="1" applyFill="1" applyBorder="1" applyAlignment="1">
      <alignment horizontal="center" vertical="center" wrapText="1"/>
    </xf>
    <xf numFmtId="168" fontId="24" fillId="5" borderId="20" xfId="6" applyNumberFormat="1" applyFont="1" applyFill="1" applyBorder="1" applyAlignment="1">
      <alignment horizontal="center" vertical="center" wrapText="1"/>
    </xf>
    <xf numFmtId="10" fontId="24" fillId="5" borderId="20" xfId="7" applyNumberFormat="1" applyFont="1" applyFill="1" applyBorder="1" applyAlignment="1">
      <alignment horizontal="center" vertical="center" wrapText="1"/>
    </xf>
    <xf numFmtId="168" fontId="24" fillId="7" borderId="20" xfId="6" applyNumberFormat="1" applyFont="1" applyFill="1" applyBorder="1" applyAlignment="1">
      <alignment horizontal="center" vertical="center" wrapText="1"/>
    </xf>
    <xf numFmtId="10" fontId="24" fillId="7" borderId="20" xfId="7" applyNumberFormat="1" applyFont="1" applyFill="1" applyBorder="1" applyAlignment="1">
      <alignment horizontal="center" vertical="center" wrapText="1"/>
    </xf>
    <xf numFmtId="168" fontId="24" fillId="0" borderId="20" xfId="6" applyNumberFormat="1" applyFont="1" applyBorder="1" applyAlignment="1">
      <alignment horizontal="center" vertical="center" wrapText="1"/>
    </xf>
    <xf numFmtId="9" fontId="24" fillId="0" borderId="20" xfId="7" applyFont="1" applyBorder="1" applyAlignment="1">
      <alignment horizontal="center" vertical="center" wrapText="1"/>
    </xf>
    <xf numFmtId="168" fontId="24" fillId="4" borderId="20" xfId="7" applyNumberFormat="1" applyFont="1" applyFill="1" applyBorder="1" applyAlignment="1">
      <alignment horizontal="center" vertical="center" wrapText="1"/>
    </xf>
    <xf numFmtId="9" fontId="24" fillId="5" borderId="20" xfId="7" applyFont="1" applyFill="1" applyBorder="1" applyAlignment="1">
      <alignment horizontal="center" vertical="center" wrapText="1"/>
    </xf>
    <xf numFmtId="168" fontId="24" fillId="6" borderId="30" xfId="6" applyNumberFormat="1" applyFont="1" applyFill="1" applyBorder="1" applyAlignment="1">
      <alignment horizontal="center" vertical="center" wrapText="1"/>
    </xf>
    <xf numFmtId="0" fontId="24" fillId="6" borderId="30" xfId="6" applyFont="1" applyFill="1" applyBorder="1" applyAlignment="1">
      <alignment horizontal="center" vertical="center" wrapText="1"/>
    </xf>
    <xf numFmtId="0" fontId="26" fillId="0" borderId="0" xfId="6" applyFont="1" applyFill="1" applyBorder="1" applyAlignment="1">
      <alignment horizontal="center" vertical="center" wrapText="1"/>
    </xf>
    <xf numFmtId="0" fontId="10" fillId="0" borderId="0" xfId="9" applyAlignment="1">
      <alignment vertical="center"/>
    </xf>
    <xf numFmtId="0" fontId="10" fillId="0" borderId="0" xfId="9" applyAlignment="1">
      <alignment horizontal="left" vertical="center"/>
    </xf>
    <xf numFmtId="0" fontId="31" fillId="8" borderId="20" xfId="9" applyFont="1" applyFill="1" applyBorder="1" applyAlignment="1">
      <alignment horizontal="center" vertical="center" wrapText="1"/>
    </xf>
    <xf numFmtId="0" fontId="32" fillId="8" borderId="34" xfId="9" applyNumberFormat="1" applyFont="1" applyFill="1" applyBorder="1" applyAlignment="1">
      <alignment horizontal="center" vertical="center" wrapText="1"/>
    </xf>
    <xf numFmtId="0" fontId="32" fillId="8" borderId="34" xfId="9" applyFont="1" applyFill="1" applyBorder="1" applyAlignment="1">
      <alignment horizontal="center" vertical="center" wrapText="1"/>
    </xf>
    <xf numFmtId="0" fontId="35" fillId="9" borderId="38" xfId="9" applyFont="1" applyFill="1" applyBorder="1" applyAlignment="1">
      <alignment horizontal="center" vertical="center"/>
    </xf>
    <xf numFmtId="0" fontId="35" fillId="9" borderId="39" xfId="9" applyFont="1" applyFill="1" applyBorder="1" applyAlignment="1">
      <alignment horizontal="center" vertical="center"/>
    </xf>
    <xf numFmtId="171" fontId="31" fillId="4" borderId="40" xfId="9" applyNumberFormat="1" applyFont="1" applyFill="1" applyBorder="1" applyAlignment="1">
      <alignment horizontal="center" vertical="center" wrapText="1"/>
    </xf>
    <xf numFmtId="171" fontId="31" fillId="4" borderId="41" xfId="9" applyNumberFormat="1" applyFont="1" applyFill="1" applyBorder="1" applyAlignment="1">
      <alignment horizontal="center" vertical="center" wrapText="1"/>
    </xf>
    <xf numFmtId="171" fontId="31" fillId="4" borderId="42" xfId="9" applyNumberFormat="1" applyFont="1" applyFill="1" applyBorder="1" applyAlignment="1">
      <alignment horizontal="center" vertical="center" wrapText="1"/>
    </xf>
    <xf numFmtId="171" fontId="31" fillId="4" borderId="43" xfId="9" applyNumberFormat="1" applyFont="1" applyFill="1" applyBorder="1" applyAlignment="1">
      <alignment horizontal="center" vertical="center" wrapText="1"/>
    </xf>
    <xf numFmtId="0" fontId="9" fillId="0" borderId="1" xfId="9" applyFont="1" applyBorder="1" applyAlignment="1">
      <alignment vertical="center" wrapText="1"/>
    </xf>
    <xf numFmtId="0" fontId="9" fillId="0" borderId="0" xfId="9" applyFont="1"/>
    <xf numFmtId="0" fontId="9" fillId="0" borderId="0" xfId="9" applyFont="1" applyAlignment="1">
      <alignment vertical="center"/>
    </xf>
    <xf numFmtId="0" fontId="9" fillId="0" borderId="0" xfId="9" applyFont="1" applyAlignment="1">
      <alignment horizontal="center"/>
    </xf>
    <xf numFmtId="0" fontId="30" fillId="2" borderId="1" xfId="9" applyFont="1" applyFill="1" applyBorder="1" applyAlignment="1">
      <alignment horizontal="center" vertical="center" wrapText="1"/>
    </xf>
    <xf numFmtId="0" fontId="30" fillId="2" borderId="30" xfId="9" applyFont="1" applyFill="1" applyBorder="1" applyAlignment="1">
      <alignment horizontal="center" vertical="center" wrapText="1"/>
    </xf>
    <xf numFmtId="0" fontId="8" fillId="0" borderId="1" xfId="9" applyFont="1" applyBorder="1" applyAlignment="1">
      <alignment vertical="center" wrapText="1"/>
    </xf>
    <xf numFmtId="0" fontId="30" fillId="2" borderId="2" xfId="9" applyFont="1" applyFill="1" applyBorder="1" applyAlignment="1">
      <alignment horizontal="center" vertical="center" wrapText="1"/>
    </xf>
    <xf numFmtId="0" fontId="9" fillId="0" borderId="1" xfId="9" applyFont="1" applyBorder="1" applyAlignment="1">
      <alignment horizontal="center" vertical="center" wrapText="1"/>
    </xf>
    <xf numFmtId="2" fontId="14" fillId="0" borderId="50" xfId="0" applyNumberFormat="1" applyFont="1" applyFill="1" applyBorder="1" applyAlignment="1" applyProtection="1">
      <alignment horizontal="center"/>
    </xf>
    <xf numFmtId="2" fontId="14" fillId="0" borderId="52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" fontId="29" fillId="0" borderId="56" xfId="0" applyNumberFormat="1" applyFont="1" applyBorder="1" applyAlignment="1">
      <alignment vertical="center"/>
    </xf>
    <xf numFmtId="4" fontId="29" fillId="4" borderId="12" xfId="0" applyNumberFormat="1" applyFont="1" applyFill="1" applyBorder="1" applyAlignment="1">
      <alignment vertical="center"/>
    </xf>
    <xf numFmtId="4" fontId="29" fillId="13" borderId="12" xfId="0" applyNumberFormat="1" applyFont="1" applyFill="1" applyBorder="1" applyAlignment="1">
      <alignment vertical="center"/>
    </xf>
    <xf numFmtId="4" fontId="29" fillId="5" borderId="12" xfId="0" applyNumberFormat="1" applyFont="1" applyFill="1" applyBorder="1" applyAlignment="1">
      <alignment vertical="center"/>
    </xf>
    <xf numFmtId="0" fontId="30" fillId="0" borderId="0" xfId="0" applyFont="1" applyAlignment="1">
      <alignment vertical="center"/>
    </xf>
    <xf numFmtId="4" fontId="29" fillId="4" borderId="57" xfId="0" applyNumberFormat="1" applyFont="1" applyFill="1" applyBorder="1" applyAlignment="1">
      <alignment vertical="center"/>
    </xf>
    <xf numFmtId="4" fontId="29" fillId="13" borderId="52" xfId="0" applyNumberFormat="1" applyFont="1" applyFill="1" applyBorder="1" applyAlignment="1">
      <alignment vertical="center"/>
    </xf>
    <xf numFmtId="4" fontId="29" fillId="13" borderId="57" xfId="0" applyNumberFormat="1" applyFont="1" applyFill="1" applyBorder="1" applyAlignment="1">
      <alignment vertical="center"/>
    </xf>
    <xf numFmtId="4" fontId="29" fillId="5" borderId="52" xfId="0" applyNumberFormat="1" applyFont="1" applyFill="1" applyBorder="1" applyAlignment="1">
      <alignment vertical="center"/>
    </xf>
    <xf numFmtId="4" fontId="29" fillId="4" borderId="11" xfId="0" applyNumberFormat="1" applyFont="1" applyFill="1" applyBorder="1" applyAlignment="1">
      <alignment vertical="center"/>
    </xf>
    <xf numFmtId="4" fontId="29" fillId="4" borderId="51" xfId="0" applyNumberFormat="1" applyFont="1" applyFill="1" applyBorder="1" applyAlignment="1">
      <alignment vertical="center"/>
    </xf>
    <xf numFmtId="4" fontId="29" fillId="13" borderId="50" xfId="0" applyNumberFormat="1" applyFont="1" applyFill="1" applyBorder="1" applyAlignment="1">
      <alignment vertical="center"/>
    </xf>
    <xf numFmtId="4" fontId="29" fillId="13" borderId="11" xfId="0" applyNumberFormat="1" applyFont="1" applyFill="1" applyBorder="1" applyAlignment="1">
      <alignment vertical="center"/>
    </xf>
    <xf numFmtId="4" fontId="29" fillId="13" borderId="51" xfId="0" applyNumberFormat="1" applyFont="1" applyFill="1" applyBorder="1" applyAlignment="1">
      <alignment vertical="center"/>
    </xf>
    <xf numFmtId="4" fontId="29" fillId="5" borderId="50" xfId="0" applyNumberFormat="1" applyFont="1" applyFill="1" applyBorder="1" applyAlignment="1">
      <alignment vertical="center"/>
    </xf>
    <xf numFmtId="4" fontId="29" fillId="5" borderId="11" xfId="0" applyNumberFormat="1" applyFont="1" applyFill="1" applyBorder="1" applyAlignment="1">
      <alignment vertical="center"/>
    </xf>
    <xf numFmtId="4" fontId="30" fillId="0" borderId="58" xfId="0" applyNumberFormat="1" applyFont="1" applyBorder="1" applyAlignment="1">
      <alignment vertical="center"/>
    </xf>
    <xf numFmtId="0" fontId="30" fillId="0" borderId="36" xfId="0" applyFont="1" applyBorder="1" applyAlignment="1">
      <alignment horizontal="left" vertical="center"/>
    </xf>
    <xf numFmtId="4" fontId="29" fillId="4" borderId="14" xfId="0" applyNumberFormat="1" applyFont="1" applyFill="1" applyBorder="1" applyAlignment="1">
      <alignment vertical="center"/>
    </xf>
    <xf numFmtId="4" fontId="29" fillId="4" borderId="45" xfId="0" applyNumberFormat="1" applyFont="1" applyFill="1" applyBorder="1" applyAlignment="1">
      <alignment vertical="center"/>
    </xf>
    <xf numFmtId="4" fontId="29" fillId="0" borderId="59" xfId="0" applyNumberFormat="1" applyFont="1" applyBorder="1" applyAlignment="1">
      <alignment vertical="center"/>
    </xf>
    <xf numFmtId="4" fontId="30" fillId="4" borderId="35" xfId="0" applyNumberFormat="1" applyFont="1" applyFill="1" applyBorder="1" applyAlignment="1">
      <alignment vertical="center"/>
    </xf>
    <xf numFmtId="4" fontId="30" fillId="4" borderId="63" xfId="0" applyNumberFormat="1" applyFont="1" applyFill="1" applyBorder="1" applyAlignment="1">
      <alignment vertical="center"/>
    </xf>
    <xf numFmtId="4" fontId="30" fillId="4" borderId="64" xfId="0" applyNumberFormat="1" applyFont="1" applyFill="1" applyBorder="1" applyAlignment="1">
      <alignment vertical="center"/>
    </xf>
    <xf numFmtId="4" fontId="30" fillId="13" borderId="35" xfId="0" applyNumberFormat="1" applyFont="1" applyFill="1" applyBorder="1" applyAlignment="1">
      <alignment vertical="center"/>
    </xf>
    <xf numFmtId="4" fontId="30" fillId="13" borderId="63" xfId="0" applyNumberFormat="1" applyFont="1" applyFill="1" applyBorder="1" applyAlignment="1">
      <alignment vertical="center"/>
    </xf>
    <xf numFmtId="4" fontId="30" fillId="13" borderId="64" xfId="0" applyNumberFormat="1" applyFont="1" applyFill="1" applyBorder="1" applyAlignment="1">
      <alignment vertical="center"/>
    </xf>
    <xf numFmtId="4" fontId="30" fillId="5" borderId="35" xfId="0" applyNumberFormat="1" applyFont="1" applyFill="1" applyBorder="1" applyAlignment="1">
      <alignment vertical="center"/>
    </xf>
    <xf numFmtId="4" fontId="30" fillId="5" borderId="63" xfId="0" applyNumberFormat="1" applyFont="1" applyFill="1" applyBorder="1" applyAlignment="1">
      <alignment vertical="center"/>
    </xf>
    <xf numFmtId="165" fontId="13" fillId="12" borderId="48" xfId="3" applyNumberFormat="1" applyFont="1" applyFill="1" applyBorder="1" applyAlignment="1" applyProtection="1">
      <alignment horizontal="center" vertical="top" wrapText="1"/>
    </xf>
    <xf numFmtId="4" fontId="13" fillId="12" borderId="10" xfId="0" applyNumberFormat="1" applyFont="1" applyFill="1" applyBorder="1" applyAlignment="1" applyProtection="1">
      <alignment horizontal="center" vertical="top" wrapText="1"/>
    </xf>
    <xf numFmtId="0" fontId="13" fillId="12" borderId="10" xfId="0" applyFont="1" applyFill="1" applyBorder="1" applyAlignment="1" applyProtection="1">
      <alignment horizontal="center" vertical="top" wrapText="1"/>
    </xf>
    <xf numFmtId="3" fontId="13" fillId="12" borderId="10" xfId="0" applyNumberFormat="1" applyFont="1" applyFill="1" applyBorder="1" applyAlignment="1" applyProtection="1">
      <alignment horizontal="center" vertical="top" wrapText="1"/>
    </xf>
    <xf numFmtId="4" fontId="13" fillId="12" borderId="49" xfId="0" applyNumberFormat="1" applyFont="1" applyFill="1" applyBorder="1" applyAlignment="1" applyProtection="1">
      <alignment horizontal="center" vertical="top" wrapText="1"/>
    </xf>
    <xf numFmtId="4" fontId="13" fillId="14" borderId="10" xfId="0" applyNumberFormat="1" applyFont="1" applyFill="1" applyBorder="1" applyAlignment="1" applyProtection="1">
      <alignment horizontal="center" vertical="top" wrapText="1"/>
    </xf>
    <xf numFmtId="0" fontId="13" fillId="14" borderId="10" xfId="0" applyFont="1" applyFill="1" applyBorder="1" applyAlignment="1" applyProtection="1">
      <alignment horizontal="center" vertical="top" wrapText="1"/>
    </xf>
    <xf numFmtId="3" fontId="13" fillId="14" borderId="10" xfId="0" applyNumberFormat="1" applyFont="1" applyFill="1" applyBorder="1" applyAlignment="1" applyProtection="1">
      <alignment horizontal="center" vertical="top" wrapText="1"/>
    </xf>
    <xf numFmtId="165" fontId="13" fillId="14" borderId="48" xfId="3" applyNumberFormat="1" applyFont="1" applyFill="1" applyBorder="1" applyAlignment="1" applyProtection="1">
      <alignment horizontal="center" vertical="top" wrapText="1"/>
    </xf>
    <xf numFmtId="4" fontId="13" fillId="14" borderId="49" xfId="0" applyNumberFormat="1" applyFont="1" applyFill="1" applyBorder="1" applyAlignment="1" applyProtection="1">
      <alignment horizontal="center" vertical="top" wrapText="1"/>
    </xf>
    <xf numFmtId="3" fontId="13" fillId="2" borderId="32" xfId="0" applyNumberFormat="1" applyFont="1" applyFill="1" applyBorder="1" applyAlignment="1" applyProtection="1">
      <alignment horizontal="center" vertical="top" wrapText="1"/>
    </xf>
    <xf numFmtId="0" fontId="14" fillId="0" borderId="65" xfId="0" applyFont="1" applyFill="1" applyBorder="1" applyAlignment="1" applyProtection="1"/>
    <xf numFmtId="0" fontId="14" fillId="0" borderId="66" xfId="0" applyFont="1" applyFill="1" applyBorder="1" applyAlignment="1" applyProtection="1"/>
    <xf numFmtId="4" fontId="13" fillId="8" borderId="48" xfId="0" applyNumberFormat="1" applyFont="1" applyFill="1" applyBorder="1" applyAlignment="1" applyProtection="1">
      <alignment horizontal="center" vertical="top" wrapText="1"/>
    </xf>
    <xf numFmtId="3" fontId="13" fillId="8" borderId="10" xfId="0" applyNumberFormat="1" applyFont="1" applyFill="1" applyBorder="1" applyAlignment="1" applyProtection="1">
      <alignment horizontal="center" vertical="top" wrapText="1"/>
    </xf>
    <xf numFmtId="3" fontId="13" fillId="8" borderId="49" xfId="0" applyNumberFormat="1" applyFont="1" applyFill="1" applyBorder="1" applyAlignment="1" applyProtection="1">
      <alignment horizontal="center" vertical="top" wrapText="1"/>
    </xf>
    <xf numFmtId="0" fontId="35" fillId="9" borderId="1" xfId="9" applyFont="1" applyFill="1" applyBorder="1" applyAlignment="1">
      <alignment horizontal="center" vertical="center" wrapText="1"/>
    </xf>
    <xf numFmtId="0" fontId="24" fillId="2" borderId="8" xfId="9" applyFont="1" applyFill="1" applyBorder="1" applyAlignment="1">
      <alignment horizontal="center" vertical="center" wrapText="1"/>
    </xf>
    <xf numFmtId="0" fontId="13" fillId="0" borderId="0" xfId="0" applyFont="1" applyFill="1" applyBorder="1" applyAlignment="1" applyProtection="1">
      <alignment horizontal="center" vertical="center" wrapText="1"/>
    </xf>
    <xf numFmtId="0" fontId="13" fillId="11" borderId="68" xfId="0" applyFont="1" applyFill="1" applyBorder="1" applyAlignment="1" applyProtection="1">
      <alignment horizontal="center" vertical="center" wrapText="1"/>
    </xf>
    <xf numFmtId="0" fontId="13" fillId="11" borderId="69" xfId="0" applyFont="1" applyFill="1" applyBorder="1" applyAlignment="1" applyProtection="1">
      <alignment horizontal="center" vertical="center" wrapText="1"/>
    </xf>
    <xf numFmtId="4" fontId="13" fillId="10" borderId="35" xfId="0" applyNumberFormat="1" applyFont="1" applyFill="1" applyBorder="1" applyAlignment="1" applyProtection="1">
      <alignment horizontal="center" vertical="center" wrapText="1"/>
    </xf>
    <xf numFmtId="3" fontId="13" fillId="10" borderId="63" xfId="0" applyNumberFormat="1" applyFont="1" applyFill="1" applyBorder="1" applyAlignment="1" applyProtection="1">
      <alignment horizontal="center" vertical="center" wrapText="1"/>
    </xf>
    <xf numFmtId="4" fontId="13" fillId="10" borderId="64" xfId="0" applyNumberFormat="1" applyFont="1" applyFill="1" applyBorder="1" applyAlignment="1" applyProtection="1">
      <alignment horizontal="center" vertical="center" wrapText="1"/>
    </xf>
    <xf numFmtId="4" fontId="13" fillId="8" borderId="35" xfId="0" applyNumberFormat="1" applyFont="1" applyFill="1" applyBorder="1" applyAlignment="1" applyProtection="1">
      <alignment horizontal="center" vertical="center" wrapText="1"/>
    </xf>
    <xf numFmtId="3" fontId="13" fillId="8" borderId="63" xfId="0" applyNumberFormat="1" applyFont="1" applyFill="1" applyBorder="1" applyAlignment="1" applyProtection="1">
      <alignment horizontal="center" vertical="center" wrapText="1"/>
    </xf>
    <xf numFmtId="4" fontId="13" fillId="8" borderId="64" xfId="0" applyNumberFormat="1" applyFont="1" applyFill="1" applyBorder="1" applyAlignment="1" applyProtection="1">
      <alignment horizontal="center" vertical="center" wrapText="1"/>
    </xf>
    <xf numFmtId="4" fontId="13" fillId="7" borderId="35" xfId="0" applyNumberFormat="1" applyFont="1" applyFill="1" applyBorder="1" applyAlignment="1" applyProtection="1">
      <alignment horizontal="center" vertical="center" wrapText="1"/>
    </xf>
    <xf numFmtId="3" fontId="13" fillId="7" borderId="63" xfId="0" applyNumberFormat="1" applyFont="1" applyFill="1" applyBorder="1" applyAlignment="1" applyProtection="1">
      <alignment horizontal="center" vertical="center" wrapText="1"/>
    </xf>
    <xf numFmtId="3" fontId="13" fillId="7" borderId="64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4" fontId="13" fillId="0" borderId="0" xfId="0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Fill="1" applyBorder="1" applyAlignment="1" applyProtection="1">
      <alignment horizontal="center" vertical="center" wrapText="1"/>
    </xf>
    <xf numFmtId="0" fontId="7" fillId="0" borderId="1" xfId="9" applyFont="1" applyBorder="1" applyAlignment="1">
      <alignment vertical="center" wrapText="1"/>
    </xf>
    <xf numFmtId="0" fontId="24" fillId="2" borderId="9" xfId="9" applyFont="1" applyFill="1" applyBorder="1" applyAlignment="1">
      <alignment vertical="center" wrapText="1"/>
    </xf>
    <xf numFmtId="2" fontId="9" fillId="4" borderId="1" xfId="9" applyNumberFormat="1" applyFont="1" applyFill="1" applyBorder="1" applyAlignment="1">
      <alignment horizontal="center" vertical="center" wrapText="1"/>
    </xf>
    <xf numFmtId="0" fontId="25" fillId="5" borderId="25" xfId="6" applyFont="1" applyFill="1" applyBorder="1" applyAlignment="1">
      <alignment vertical="center" wrapText="1"/>
    </xf>
    <xf numFmtId="0" fontId="25" fillId="5" borderId="24" xfId="6" applyFont="1" applyFill="1" applyBorder="1" applyAlignment="1">
      <alignment vertical="center" wrapText="1"/>
    </xf>
    <xf numFmtId="49" fontId="26" fillId="0" borderId="20" xfId="6" applyNumberFormat="1" applyFont="1" applyFill="1" applyBorder="1" applyAlignment="1" applyProtection="1">
      <alignment horizontal="center" vertical="center" wrapText="1"/>
      <protection locked="0"/>
    </xf>
    <xf numFmtId="0" fontId="26" fillId="0" borderId="21" xfId="6" applyFont="1" applyFill="1" applyBorder="1" applyAlignment="1" applyProtection="1">
      <alignment vertical="center" wrapText="1"/>
      <protection locked="0"/>
    </xf>
    <xf numFmtId="10" fontId="24" fillId="6" borderId="20" xfId="7" applyNumberFormat="1" applyFont="1" applyFill="1" applyBorder="1" applyAlignment="1" applyProtection="1">
      <alignment horizontal="center" vertical="center" wrapText="1"/>
      <protection locked="0"/>
    </xf>
    <xf numFmtId="168" fontId="24" fillId="6" borderId="20" xfId="6" applyNumberFormat="1" applyFont="1" applyFill="1" applyBorder="1" applyAlignment="1" applyProtection="1">
      <alignment horizontal="center" vertical="center" wrapText="1"/>
      <protection locked="0"/>
    </xf>
    <xf numFmtId="168" fontId="24" fillId="0" borderId="0" xfId="6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6" applyFont="1" applyAlignment="1" applyProtection="1">
      <alignment vertical="center" wrapText="1"/>
      <protection locked="0"/>
    </xf>
    <xf numFmtId="2" fontId="14" fillId="0" borderId="11" xfId="0" applyNumberFormat="1" applyFont="1" applyFill="1" applyBorder="1" applyAlignment="1" applyProtection="1"/>
    <xf numFmtId="170" fontId="14" fillId="0" borderId="11" xfId="0" applyNumberFormat="1" applyFont="1" applyFill="1" applyBorder="1" applyAlignment="1" applyProtection="1"/>
    <xf numFmtId="2" fontId="14" fillId="0" borderId="50" xfId="0" applyNumberFormat="1" applyFont="1" applyFill="1" applyBorder="1" applyAlignment="1" applyProtection="1"/>
    <xf numFmtId="4" fontId="15" fillId="0" borderId="0" xfId="0" applyNumberFormat="1" applyFont="1" applyProtection="1"/>
    <xf numFmtId="0" fontId="0" fillId="15" borderId="0" xfId="0" applyFill="1" applyAlignment="1">
      <alignment vertical="center"/>
    </xf>
    <xf numFmtId="0" fontId="30" fillId="15" borderId="0" xfId="0" applyFont="1" applyFill="1" applyAlignment="1">
      <alignment vertical="center"/>
    </xf>
    <xf numFmtId="0" fontId="30" fillId="4" borderId="1" xfId="9" applyFont="1" applyFill="1" applyBorder="1" applyAlignment="1">
      <alignment horizontal="center" vertical="center" wrapText="1"/>
    </xf>
    <xf numFmtId="0" fontId="30" fillId="0" borderId="72" xfId="0" applyFont="1" applyBorder="1" applyAlignment="1">
      <alignment horizontal="left" vertical="center"/>
    </xf>
    <xf numFmtId="4" fontId="30" fillId="0" borderId="36" xfId="0" applyNumberFormat="1" applyFont="1" applyBorder="1" applyAlignment="1">
      <alignment vertical="center"/>
    </xf>
    <xf numFmtId="4" fontId="29" fillId="0" borderId="50" xfId="0" applyNumberFormat="1" applyFont="1" applyBorder="1" applyAlignment="1">
      <alignment vertical="center"/>
    </xf>
    <xf numFmtId="4" fontId="29" fillId="0" borderId="52" xfId="0" applyNumberFormat="1" applyFont="1" applyBorder="1" applyAlignment="1">
      <alignment vertical="center"/>
    </xf>
    <xf numFmtId="4" fontId="29" fillId="0" borderId="53" xfId="0" applyNumberFormat="1" applyFont="1" applyBorder="1" applyAlignment="1">
      <alignment vertical="center"/>
    </xf>
    <xf numFmtId="4" fontId="29" fillId="0" borderId="73" xfId="0" applyNumberFormat="1" applyFont="1" applyBorder="1" applyAlignment="1">
      <alignment vertical="center"/>
    </xf>
    <xf numFmtId="4" fontId="29" fillId="4" borderId="74" xfId="0" applyNumberFormat="1" applyFont="1" applyFill="1" applyBorder="1" applyAlignment="1">
      <alignment vertical="center"/>
    </xf>
    <xf numFmtId="4" fontId="29" fillId="4" borderId="54" xfId="0" applyNumberFormat="1" applyFont="1" applyFill="1" applyBorder="1" applyAlignment="1">
      <alignment vertical="center"/>
    </xf>
    <xf numFmtId="4" fontId="29" fillId="4" borderId="55" xfId="0" applyNumberFormat="1" applyFont="1" applyFill="1" applyBorder="1" applyAlignment="1">
      <alignment vertical="center"/>
    </xf>
    <xf numFmtId="4" fontId="29" fillId="13" borderId="53" xfId="0" applyNumberFormat="1" applyFont="1" applyFill="1" applyBorder="1" applyAlignment="1">
      <alignment vertical="center"/>
    </xf>
    <xf numFmtId="4" fontId="29" fillId="13" borderId="54" xfId="0" applyNumberFormat="1" applyFont="1" applyFill="1" applyBorder="1" applyAlignment="1">
      <alignment vertical="center"/>
    </xf>
    <xf numFmtId="4" fontId="29" fillId="13" borderId="55" xfId="0" applyNumberFormat="1" applyFont="1" applyFill="1" applyBorder="1" applyAlignment="1">
      <alignment vertical="center"/>
    </xf>
    <xf numFmtId="4" fontId="29" fillId="5" borderId="53" xfId="0" applyNumberFormat="1" applyFont="1" applyFill="1" applyBorder="1" applyAlignment="1">
      <alignment vertical="center"/>
    </xf>
    <xf numFmtId="4" fontId="29" fillId="5" borderId="54" xfId="0" applyNumberFormat="1" applyFont="1" applyFill="1" applyBorder="1" applyAlignment="1">
      <alignment vertical="center"/>
    </xf>
    <xf numFmtId="0" fontId="29" fillId="0" borderId="75" xfId="0" applyFont="1" applyFill="1" applyBorder="1" applyAlignment="1">
      <alignment horizontal="left" vertical="center"/>
    </xf>
    <xf numFmtId="0" fontId="37" fillId="0" borderId="0" xfId="13" applyFont="1" applyAlignment="1">
      <alignment vertical="center"/>
    </xf>
    <xf numFmtId="49" fontId="23" fillId="0" borderId="0" xfId="13" applyNumberFormat="1" applyFont="1" applyAlignment="1">
      <alignment horizontal="left" vertical="center"/>
    </xf>
    <xf numFmtId="0" fontId="37" fillId="0" borderId="0" xfId="13" applyFont="1" applyAlignment="1">
      <alignment horizontal="center" vertical="center"/>
    </xf>
    <xf numFmtId="0" fontId="39" fillId="0" borderId="0" xfId="13" applyFont="1" applyAlignment="1">
      <alignment vertical="center"/>
    </xf>
    <xf numFmtId="0" fontId="24" fillId="9" borderId="1" xfId="6" applyFont="1" applyFill="1" applyBorder="1" applyAlignment="1" applyProtection="1">
      <alignment horizontal="center" vertical="center" wrapText="1"/>
    </xf>
    <xf numFmtId="49" fontId="35" fillId="0" borderId="0" xfId="13" applyNumberFormat="1" applyFont="1" applyBorder="1" applyAlignment="1">
      <alignment horizontal="left" vertical="center"/>
    </xf>
    <xf numFmtId="0" fontId="24" fillId="0" borderId="0" xfId="6" applyFont="1" applyFill="1" applyBorder="1" applyAlignment="1" applyProtection="1">
      <alignment horizontal="left" vertical="center"/>
    </xf>
    <xf numFmtId="44" fontId="26" fillId="0" borderId="26" xfId="8" applyFont="1" applyFill="1" applyBorder="1" applyAlignment="1" applyProtection="1">
      <alignment horizontal="center" vertical="center"/>
    </xf>
    <xf numFmtId="0" fontId="35" fillId="5" borderId="6" xfId="13" applyFont="1" applyFill="1" applyBorder="1" applyAlignment="1">
      <alignment horizontal="left" vertical="center"/>
    </xf>
    <xf numFmtId="0" fontId="24" fillId="5" borderId="7" xfId="6" applyFont="1" applyFill="1" applyBorder="1" applyAlignment="1" applyProtection="1">
      <alignment vertical="center"/>
    </xf>
    <xf numFmtId="0" fontId="26" fillId="5" borderId="30" xfId="6" applyFont="1" applyFill="1" applyBorder="1" applyAlignment="1" applyProtection="1">
      <alignment horizontal="center" vertical="center"/>
    </xf>
    <xf numFmtId="8" fontId="26" fillId="5" borderId="30" xfId="8" applyNumberFormat="1" applyFont="1" applyFill="1" applyBorder="1" applyAlignment="1" applyProtection="1">
      <alignment horizontal="right" vertical="center"/>
    </xf>
    <xf numFmtId="49" fontId="35" fillId="5" borderId="21" xfId="13" applyNumberFormat="1" applyFont="1" applyFill="1" applyBorder="1" applyAlignment="1">
      <alignment horizontal="left" vertical="center"/>
    </xf>
    <xf numFmtId="0" fontId="26" fillId="5" borderId="21" xfId="6" applyFont="1" applyFill="1" applyBorder="1" applyAlignment="1" applyProtection="1">
      <alignment horizontal="center" vertical="center"/>
    </xf>
    <xf numFmtId="0" fontId="26" fillId="5" borderId="20" xfId="6" applyFont="1" applyFill="1" applyBorder="1" applyAlignment="1" applyProtection="1">
      <alignment horizontal="center" vertical="center"/>
    </xf>
    <xf numFmtId="8" fontId="26" fillId="6" borderId="20" xfId="8" applyNumberFormat="1" applyFont="1" applyFill="1" applyBorder="1" applyAlignment="1" applyProtection="1">
      <alignment horizontal="right" vertical="center"/>
      <protection locked="0"/>
    </xf>
    <xf numFmtId="8" fontId="26" fillId="5" borderId="20" xfId="8" applyNumberFormat="1" applyFont="1" applyFill="1" applyBorder="1" applyAlignment="1" applyProtection="1">
      <alignment horizontal="right" vertical="center"/>
    </xf>
    <xf numFmtId="49" fontId="35" fillId="5" borderId="4" xfId="13" applyNumberFormat="1" applyFont="1" applyFill="1" applyBorder="1" applyAlignment="1">
      <alignment horizontal="left" vertical="center"/>
    </xf>
    <xf numFmtId="0" fontId="24" fillId="5" borderId="5" xfId="6" applyFont="1" applyFill="1" applyBorder="1" applyAlignment="1" applyProtection="1">
      <alignment vertical="center"/>
    </xf>
    <xf numFmtId="8" fontId="24" fillId="5" borderId="1" xfId="8" applyNumberFormat="1" applyFont="1" applyFill="1" applyBorder="1" applyAlignment="1" applyProtection="1">
      <alignment horizontal="right" vertical="center"/>
    </xf>
    <xf numFmtId="8" fontId="24" fillId="9" borderId="2" xfId="6" applyNumberFormat="1" applyFont="1" applyFill="1" applyBorder="1" applyAlignment="1" applyProtection="1">
      <alignment horizontal="center" vertical="center"/>
    </xf>
    <xf numFmtId="8" fontId="24" fillId="9" borderId="9" xfId="6" applyNumberFormat="1" applyFont="1" applyFill="1" applyBorder="1" applyAlignment="1" applyProtection="1">
      <alignment horizontal="center" vertical="center"/>
    </xf>
    <xf numFmtId="0" fontId="24" fillId="9" borderId="5" xfId="6" applyFont="1" applyFill="1" applyBorder="1" applyAlignment="1" applyProtection="1">
      <alignment vertical="center"/>
    </xf>
    <xf numFmtId="0" fontId="39" fillId="9" borderId="5" xfId="13" applyFont="1" applyFill="1" applyBorder="1" applyAlignment="1">
      <alignment vertical="center"/>
    </xf>
    <xf numFmtId="0" fontId="0" fillId="15" borderId="0" xfId="0" applyFill="1" applyAlignment="1">
      <alignment horizontal="center" vertical="center" wrapText="1"/>
    </xf>
    <xf numFmtId="4" fontId="30" fillId="5" borderId="78" xfId="0" applyNumberFormat="1" applyFont="1" applyFill="1" applyBorder="1" applyAlignment="1">
      <alignment vertical="center"/>
    </xf>
    <xf numFmtId="4" fontId="29" fillId="5" borderId="70" xfId="0" applyNumberFormat="1" applyFont="1" applyFill="1" applyBorder="1" applyAlignment="1">
      <alignment vertical="center"/>
    </xf>
    <xf numFmtId="4" fontId="29" fillId="5" borderId="71" xfId="0" applyNumberFormat="1" applyFont="1" applyFill="1" applyBorder="1" applyAlignment="1">
      <alignment vertical="center"/>
    </xf>
    <xf numFmtId="4" fontId="29" fillId="5" borderId="79" xfId="0" applyNumberFormat="1" applyFont="1" applyFill="1" applyBorder="1" applyAlignment="1">
      <alignment vertical="center"/>
    </xf>
    <xf numFmtId="173" fontId="0" fillId="0" borderId="80" xfId="0" applyNumberFormat="1" applyBorder="1" applyAlignment="1">
      <alignment vertical="center"/>
    </xf>
    <xf numFmtId="173" fontId="0" fillId="0" borderId="82" xfId="0" applyNumberFormat="1" applyBorder="1" applyAlignment="1">
      <alignment vertical="center"/>
    </xf>
    <xf numFmtId="174" fontId="38" fillId="0" borderId="35" xfId="0" applyNumberFormat="1" applyFont="1" applyBorder="1" applyAlignment="1">
      <alignment vertical="center"/>
    </xf>
    <xf numFmtId="173" fontId="38" fillId="0" borderId="63" xfId="0" applyNumberFormat="1" applyFont="1" applyBorder="1" applyAlignment="1">
      <alignment vertical="center"/>
    </xf>
    <xf numFmtId="173" fontId="38" fillId="0" borderId="64" xfId="0" applyNumberFormat="1" applyFont="1" applyBorder="1" applyAlignment="1">
      <alignment vertical="center"/>
    </xf>
    <xf numFmtId="174" fontId="0" fillId="0" borderId="83" xfId="0" applyNumberFormat="1" applyBorder="1" applyAlignment="1">
      <alignment vertical="center"/>
    </xf>
    <xf numFmtId="173" fontId="0" fillId="0" borderId="84" xfId="0" applyNumberFormat="1" applyBorder="1" applyAlignment="1">
      <alignment vertical="center"/>
    </xf>
    <xf numFmtId="174" fontId="0" fillId="0" borderId="85" xfId="0" applyNumberFormat="1" applyBorder="1" applyAlignment="1">
      <alignment vertical="center"/>
    </xf>
    <xf numFmtId="173" fontId="0" fillId="0" borderId="86" xfId="0" applyNumberFormat="1" applyBorder="1" applyAlignment="1">
      <alignment vertical="center"/>
    </xf>
    <xf numFmtId="174" fontId="0" fillId="0" borderId="87" xfId="0" applyNumberFormat="1" applyBorder="1" applyAlignment="1">
      <alignment vertical="center"/>
    </xf>
    <xf numFmtId="173" fontId="0" fillId="0" borderId="81" xfId="0" applyNumberFormat="1" applyBorder="1" applyAlignment="1">
      <alignment vertical="center"/>
    </xf>
    <xf numFmtId="173" fontId="0" fillId="0" borderId="88" xfId="0" applyNumberFormat="1" applyBorder="1" applyAlignment="1">
      <alignment vertical="center"/>
    </xf>
    <xf numFmtId="0" fontId="31" fillId="8" borderId="89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vertical="center" wrapText="1"/>
    </xf>
    <xf numFmtId="174" fontId="35" fillId="9" borderId="1" xfId="9" applyNumberFormat="1" applyFont="1" applyFill="1" applyBorder="1" applyAlignment="1">
      <alignment horizontal="center" vertical="center" wrapText="1"/>
    </xf>
    <xf numFmtId="1" fontId="35" fillId="9" borderId="1" xfId="9" applyNumberFormat="1" applyFont="1" applyFill="1" applyBorder="1" applyAlignment="1">
      <alignment horizontal="center" vertical="center" wrapText="1"/>
    </xf>
    <xf numFmtId="174" fontId="9" fillId="0" borderId="1" xfId="9" applyNumberFormat="1" applyFont="1" applyBorder="1" applyAlignment="1">
      <alignment horizontal="center" vertical="center" wrapText="1"/>
    </xf>
    <xf numFmtId="0" fontId="32" fillId="16" borderId="0" xfId="14" applyFont="1" applyFill="1"/>
    <xf numFmtId="0" fontId="44" fillId="16" borderId="0" xfId="14" applyFont="1" applyFill="1" applyAlignment="1">
      <alignment vertical="top" wrapText="1"/>
    </xf>
    <xf numFmtId="0" fontId="32" fillId="16" borderId="0" xfId="14" applyFont="1" applyFill="1" applyAlignment="1">
      <alignment wrapText="1"/>
    </xf>
    <xf numFmtId="0" fontId="32" fillId="16" borderId="0" xfId="14" applyFont="1" applyFill="1" applyAlignment="1">
      <alignment vertical="center" wrapText="1"/>
    </xf>
    <xf numFmtId="0" fontId="32" fillId="16" borderId="0" xfId="14" applyFont="1" applyFill="1" applyAlignment="1">
      <alignment horizontal="left" vertical="center"/>
    </xf>
    <xf numFmtId="0" fontId="46" fillId="16" borderId="0" xfId="14" applyFont="1" applyFill="1" applyAlignment="1"/>
    <xf numFmtId="0" fontId="0" fillId="18" borderId="0" xfId="0" applyFill="1" applyAlignment="1">
      <alignment vertical="center"/>
    </xf>
    <xf numFmtId="0" fontId="0" fillId="18" borderId="0" xfId="0" applyFill="1" applyAlignment="1">
      <alignment horizontal="left" vertical="center"/>
    </xf>
    <xf numFmtId="0" fontId="11" fillId="18" borderId="0" xfId="0" applyFont="1" applyFill="1" applyAlignment="1">
      <alignment horizontal="center" vertical="center"/>
    </xf>
    <xf numFmtId="0" fontId="32" fillId="18" borderId="0" xfId="0" applyFont="1" applyFill="1" applyAlignment="1">
      <alignment horizontal="justify" vertical="center" wrapText="1"/>
    </xf>
    <xf numFmtId="0" fontId="32" fillId="18" borderId="0" xfId="0" applyFont="1" applyFill="1"/>
    <xf numFmtId="0" fontId="21" fillId="18" borderId="0" xfId="0" applyFont="1" applyFill="1" applyAlignment="1">
      <alignment vertical="center"/>
    </xf>
    <xf numFmtId="0" fontId="30" fillId="18" borderId="0" xfId="0" applyFont="1" applyFill="1" applyAlignment="1">
      <alignment vertical="center"/>
    </xf>
    <xf numFmtId="0" fontId="0" fillId="18" borderId="0" xfId="0" applyFill="1" applyBorder="1" applyAlignment="1">
      <alignment vertical="center"/>
    </xf>
    <xf numFmtId="0" fontId="30" fillId="18" borderId="0" xfId="0" applyFont="1" applyFill="1" applyAlignment="1">
      <alignment horizontal="left" vertical="center"/>
    </xf>
    <xf numFmtId="49" fontId="35" fillId="18" borderId="0" xfId="13" applyNumberFormat="1" applyFont="1" applyFill="1" applyAlignment="1">
      <alignment horizontal="center" vertical="center"/>
    </xf>
    <xf numFmtId="49" fontId="35" fillId="18" borderId="0" xfId="13" applyNumberFormat="1" applyFont="1" applyFill="1" applyBorder="1" applyAlignment="1">
      <alignment horizontal="center" vertical="center"/>
    </xf>
    <xf numFmtId="0" fontId="39" fillId="18" borderId="0" xfId="13" applyFont="1" applyFill="1" applyAlignment="1">
      <alignment vertical="center"/>
    </xf>
    <xf numFmtId="49" fontId="23" fillId="18" borderId="0" xfId="13" applyNumberFormat="1" applyFont="1" applyFill="1" applyAlignment="1">
      <alignment horizontal="center" vertical="center"/>
    </xf>
    <xf numFmtId="0" fontId="24" fillId="18" borderId="0" xfId="6" applyFont="1" applyFill="1" applyAlignment="1" applyProtection="1">
      <alignment vertical="center"/>
    </xf>
    <xf numFmtId="0" fontId="37" fillId="18" borderId="0" xfId="13" applyFont="1" applyFill="1" applyAlignment="1">
      <alignment vertical="center"/>
    </xf>
    <xf numFmtId="0" fontId="39" fillId="18" borderId="0" xfId="13" applyFont="1" applyFill="1" applyAlignment="1">
      <alignment horizontal="center" vertical="center"/>
    </xf>
    <xf numFmtId="0" fontId="26" fillId="18" borderId="0" xfId="6" applyFont="1" applyFill="1" applyBorder="1" applyAlignment="1" applyProtection="1">
      <alignment horizontal="left" vertical="center"/>
    </xf>
    <xf numFmtId="0" fontId="24" fillId="18" borderId="0" xfId="6" applyFont="1" applyFill="1" applyBorder="1" applyAlignment="1" applyProtection="1">
      <alignment horizontal="center" vertical="center"/>
    </xf>
    <xf numFmtId="0" fontId="39" fillId="18" borderId="0" xfId="13" applyFont="1" applyFill="1" applyBorder="1" applyAlignment="1">
      <alignment vertical="center"/>
    </xf>
    <xf numFmtId="0" fontId="26" fillId="18" borderId="0" xfId="6" applyFont="1" applyFill="1" applyAlignment="1" applyProtection="1">
      <alignment horizontal="center" vertical="center"/>
    </xf>
    <xf numFmtId="0" fontId="37" fillId="18" borderId="0" xfId="13" applyFont="1" applyFill="1" applyBorder="1" applyAlignment="1">
      <alignment vertical="center"/>
    </xf>
    <xf numFmtId="49" fontId="35" fillId="18" borderId="0" xfId="13" applyNumberFormat="1" applyFont="1" applyFill="1" applyBorder="1" applyAlignment="1">
      <alignment horizontal="left" vertical="center"/>
    </xf>
    <xf numFmtId="0" fontId="24" fillId="18" borderId="0" xfId="6" applyFont="1" applyFill="1" applyBorder="1" applyAlignment="1" applyProtection="1">
      <alignment horizontal="left" vertical="center" wrapText="1"/>
    </xf>
    <xf numFmtId="49" fontId="35" fillId="18" borderId="0" xfId="13" applyNumberFormat="1" applyFont="1" applyFill="1" applyAlignment="1">
      <alignment horizontal="left" vertical="center"/>
    </xf>
    <xf numFmtId="0" fontId="26" fillId="18" borderId="0" xfId="6" applyFont="1" applyFill="1" applyAlignment="1" applyProtection="1">
      <alignment vertical="center"/>
    </xf>
    <xf numFmtId="0" fontId="40" fillId="18" borderId="0" xfId="13" applyFont="1" applyFill="1" applyAlignment="1" applyProtection="1">
      <alignment vertical="center"/>
    </xf>
    <xf numFmtId="49" fontId="23" fillId="18" borderId="0" xfId="13" applyNumberFormat="1" applyFont="1" applyFill="1" applyAlignment="1">
      <alignment horizontal="left" vertical="center"/>
    </xf>
    <xf numFmtId="0" fontId="37" fillId="18" borderId="0" xfId="13" applyFont="1" applyFill="1" applyAlignment="1">
      <alignment horizontal="center" vertical="center"/>
    </xf>
    <xf numFmtId="0" fontId="26" fillId="18" borderId="0" xfId="6" applyFont="1" applyFill="1" applyBorder="1" applyAlignment="1" applyProtection="1">
      <alignment vertical="center"/>
    </xf>
    <xf numFmtId="0" fontId="24" fillId="18" borderId="0" xfId="6" applyFont="1" applyFill="1" applyBorder="1" applyAlignment="1" applyProtection="1">
      <alignment vertical="center"/>
    </xf>
    <xf numFmtId="0" fontId="9" fillId="18" borderId="0" xfId="9" applyFont="1" applyFill="1"/>
    <xf numFmtId="0" fontId="9" fillId="18" borderId="0" xfId="9" applyFont="1" applyFill="1" applyAlignment="1">
      <alignment horizontal="center"/>
    </xf>
    <xf numFmtId="0" fontId="10" fillId="18" borderId="0" xfId="9" applyFill="1" applyAlignment="1">
      <alignment horizontal="left" vertical="center"/>
    </xf>
    <xf numFmtId="0" fontId="10" fillId="18" borderId="0" xfId="9" applyFill="1" applyAlignment="1">
      <alignment vertical="center"/>
    </xf>
    <xf numFmtId="0" fontId="24" fillId="18" borderId="0" xfId="6" applyFont="1" applyFill="1" applyAlignment="1">
      <alignment vertical="center" wrapText="1"/>
    </xf>
    <xf numFmtId="168" fontId="24" fillId="18" borderId="0" xfId="6" applyNumberFormat="1" applyFont="1" applyFill="1" applyAlignment="1">
      <alignment vertical="center" wrapText="1"/>
    </xf>
    <xf numFmtId="168" fontId="24" fillId="18" borderId="0" xfId="6" applyNumberFormat="1" applyFont="1" applyFill="1" applyBorder="1" applyAlignment="1">
      <alignment vertical="center" wrapText="1"/>
    </xf>
    <xf numFmtId="0" fontId="9" fillId="18" borderId="0" xfId="9" applyFont="1" applyFill="1" applyAlignment="1">
      <alignment vertical="center"/>
    </xf>
    <xf numFmtId="49" fontId="24" fillId="18" borderId="20" xfId="6" applyNumberFormat="1" applyFont="1" applyFill="1" applyBorder="1" applyAlignment="1">
      <alignment horizontal="center" vertical="center" wrapText="1"/>
    </xf>
    <xf numFmtId="0" fontId="24" fillId="18" borderId="20" xfId="6" applyFont="1" applyFill="1" applyBorder="1" applyAlignment="1" applyProtection="1">
      <alignment horizontal="center" vertical="center" wrapText="1"/>
      <protection locked="0"/>
    </xf>
    <xf numFmtId="49" fontId="26" fillId="18" borderId="20" xfId="6" applyNumberFormat="1" applyFont="1" applyFill="1" applyBorder="1" applyAlignment="1" applyProtection="1">
      <alignment horizontal="center" vertical="center" wrapText="1"/>
      <protection locked="0"/>
    </xf>
    <xf numFmtId="49" fontId="24" fillId="18" borderId="0" xfId="6" applyNumberFormat="1" applyFont="1" applyFill="1" applyAlignment="1">
      <alignment horizontal="center" vertical="center" wrapText="1"/>
    </xf>
    <xf numFmtId="2" fontId="9" fillId="18" borderId="0" xfId="9" applyNumberFormat="1" applyFont="1" applyFill="1" applyAlignment="1">
      <alignment vertical="center"/>
    </xf>
    <xf numFmtId="0" fontId="6" fillId="18" borderId="0" xfId="9" applyFont="1" applyFill="1" applyAlignment="1">
      <alignment vertical="center"/>
    </xf>
    <xf numFmtId="0" fontId="10" fillId="18" borderId="0" xfId="9" quotePrefix="1" applyFill="1" applyAlignment="1">
      <alignment vertical="center"/>
    </xf>
    <xf numFmtId="0" fontId="32" fillId="18" borderId="34" xfId="9" applyFont="1" applyFill="1" applyBorder="1" applyAlignment="1">
      <alignment horizontal="center" vertical="center" wrapText="1"/>
    </xf>
    <xf numFmtId="0" fontId="31" fillId="18" borderId="20" xfId="9" applyFont="1" applyFill="1" applyBorder="1" applyAlignment="1">
      <alignment horizontal="center" vertical="center" wrapText="1"/>
    </xf>
    <xf numFmtId="0" fontId="31" fillId="18" borderId="89" xfId="9" applyFont="1" applyFill="1" applyBorder="1" applyAlignment="1">
      <alignment horizontal="center" vertical="center" wrapText="1"/>
    </xf>
    <xf numFmtId="0" fontId="24" fillId="18" borderId="0" xfId="6" applyFont="1" applyFill="1" applyAlignment="1" applyProtection="1">
      <alignment vertical="center" wrapText="1"/>
      <protection locked="0"/>
    </xf>
    <xf numFmtId="0" fontId="26" fillId="18" borderId="21" xfId="6" applyFont="1" applyFill="1" applyBorder="1" applyAlignment="1" applyProtection="1">
      <alignment vertical="center" wrapText="1"/>
      <protection locked="0"/>
    </xf>
    <xf numFmtId="49" fontId="24" fillId="18" borderId="21" xfId="6" applyNumberFormat="1" applyFont="1" applyFill="1" applyBorder="1" applyAlignment="1">
      <alignment horizontal="left" vertical="center" wrapText="1"/>
    </xf>
    <xf numFmtId="0" fontId="25" fillId="18" borderId="21" xfId="6" applyFont="1" applyFill="1" applyBorder="1" applyAlignment="1">
      <alignment horizontal="left" vertical="center" wrapText="1"/>
    </xf>
    <xf numFmtId="0" fontId="25" fillId="18" borderId="22" xfId="6" applyFont="1" applyFill="1" applyBorder="1" applyAlignment="1">
      <alignment horizontal="left" vertical="center" wrapText="1"/>
    </xf>
    <xf numFmtId="9" fontId="24" fillId="5" borderId="80" xfId="6" applyNumberFormat="1" applyFont="1" applyFill="1" applyBorder="1" applyAlignment="1">
      <alignment horizontal="center" vertical="center" wrapText="1"/>
    </xf>
    <xf numFmtId="168" fontId="24" fillId="6" borderId="80" xfId="6" applyNumberFormat="1" applyFont="1" applyFill="1" applyBorder="1" applyAlignment="1" applyProtection="1">
      <alignment horizontal="center" vertical="center" wrapText="1"/>
      <protection locked="0"/>
    </xf>
    <xf numFmtId="168" fontId="24" fillId="0" borderId="91" xfId="6" applyNumberFormat="1" applyFont="1" applyFill="1" applyBorder="1" applyAlignment="1">
      <alignment horizontal="center" vertical="center" wrapText="1"/>
    </xf>
    <xf numFmtId="0" fontId="26" fillId="5" borderId="80" xfId="6" applyFont="1" applyFill="1" applyBorder="1" applyAlignment="1" applyProtection="1">
      <alignment vertical="center" wrapText="1"/>
    </xf>
    <xf numFmtId="171" fontId="31" fillId="6" borderId="20" xfId="9" applyNumberFormat="1" applyFont="1" applyFill="1" applyBorder="1" applyAlignment="1" applyProtection="1">
      <alignment horizontal="center" vertical="center" wrapText="1"/>
      <protection locked="0"/>
    </xf>
    <xf numFmtId="171" fontId="31" fillId="6" borderId="17" xfId="9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9" applyFont="1" applyBorder="1" applyAlignment="1">
      <alignment vertical="center" wrapText="1"/>
    </xf>
    <xf numFmtId="0" fontId="11" fillId="0" borderId="0" xfId="0" applyFont="1" applyAlignment="1" applyProtection="1">
      <alignment horizontal="left"/>
    </xf>
    <xf numFmtId="0" fontId="32" fillId="17" borderId="0" xfId="14" applyFont="1" applyFill="1" applyProtection="1">
      <protection locked="0"/>
    </xf>
    <xf numFmtId="14" fontId="32" fillId="17" borderId="0" xfId="14" applyNumberFormat="1" applyFont="1" applyFill="1" applyProtection="1">
      <protection locked="0"/>
    </xf>
    <xf numFmtId="0" fontId="24" fillId="5" borderId="94" xfId="6" applyFont="1" applyFill="1" applyBorder="1" applyAlignment="1" applyProtection="1">
      <alignment vertical="center"/>
    </xf>
    <xf numFmtId="0" fontId="26" fillId="18" borderId="0" xfId="6" applyFont="1" applyFill="1" applyBorder="1" applyAlignment="1" applyProtection="1">
      <alignment horizontal="center" vertical="center"/>
    </xf>
    <xf numFmtId="0" fontId="26" fillId="18" borderId="91" xfId="6" applyFont="1" applyFill="1" applyBorder="1" applyAlignment="1" applyProtection="1">
      <alignment horizontal="center" vertical="center"/>
    </xf>
    <xf numFmtId="0" fontId="35" fillId="9" borderId="4" xfId="13" applyFont="1" applyFill="1" applyBorder="1" applyAlignment="1">
      <alignment horizontal="center" vertical="center"/>
    </xf>
    <xf numFmtId="0" fontId="39" fillId="9" borderId="95" xfId="13" applyFont="1" applyFill="1" applyBorder="1" applyAlignment="1">
      <alignment vertical="center"/>
    </xf>
    <xf numFmtId="0" fontId="26" fillId="18" borderId="0" xfId="6" applyFont="1" applyFill="1" applyBorder="1" applyAlignment="1" applyProtection="1">
      <alignment horizontal="center" vertical="center" wrapText="1"/>
    </xf>
    <xf numFmtId="172" fontId="26" fillId="6" borderId="97" xfId="7" applyNumberFormat="1" applyFont="1" applyFill="1" applyBorder="1" applyAlignment="1" applyProtection="1">
      <alignment horizontal="right" vertical="center"/>
      <protection locked="0"/>
    </xf>
    <xf numFmtId="172" fontId="24" fillId="9" borderId="98" xfId="7" applyNumberFormat="1" applyFont="1" applyFill="1" applyBorder="1" applyAlignment="1" applyProtection="1">
      <alignment horizontal="right" vertical="center"/>
      <protection locked="0"/>
    </xf>
    <xf numFmtId="0" fontId="29" fillId="11" borderId="76" xfId="0" applyFont="1" applyFill="1" applyBorder="1" applyAlignment="1">
      <alignment horizontal="left" vertical="center"/>
    </xf>
    <xf numFmtId="0" fontId="29" fillId="11" borderId="77" xfId="0" applyFont="1" applyFill="1" applyBorder="1" applyAlignment="1">
      <alignment horizontal="left" vertical="center"/>
    </xf>
    <xf numFmtId="0" fontId="26" fillId="5" borderId="22" xfId="6" applyFont="1" applyFill="1" applyBorder="1" applyAlignment="1" applyProtection="1">
      <alignment vertical="center" wrapText="1"/>
    </xf>
    <xf numFmtId="0" fontId="24" fillId="5" borderId="93" xfId="6" applyFont="1" applyFill="1" applyBorder="1" applyAlignment="1" applyProtection="1">
      <alignment horizontal="left" vertical="center"/>
    </xf>
    <xf numFmtId="8" fontId="24" fillId="5" borderId="80" xfId="8" applyNumberFormat="1" applyFont="1" applyFill="1" applyBorder="1" applyAlignment="1" applyProtection="1">
      <alignment horizontal="right" vertical="center"/>
    </xf>
    <xf numFmtId="0" fontId="24" fillId="9" borderId="93" xfId="6" applyFont="1" applyFill="1" applyBorder="1" applyAlignment="1" applyProtection="1">
      <alignment horizontal="left" vertical="center"/>
    </xf>
    <xf numFmtId="0" fontId="24" fillId="9" borderId="94" xfId="6" applyFont="1" applyFill="1" applyBorder="1" applyAlignment="1" applyProtection="1">
      <alignment vertical="center"/>
    </xf>
    <xf numFmtId="0" fontId="11" fillId="6" borderId="0" xfId="6" applyFont="1" applyFill="1" applyAlignment="1" applyProtection="1"/>
    <xf numFmtId="0" fontId="24" fillId="5" borderId="32" xfId="6" applyFont="1" applyFill="1" applyBorder="1" applyAlignment="1" applyProtection="1">
      <alignment vertical="center"/>
    </xf>
    <xf numFmtId="0" fontId="24" fillId="5" borderId="4" xfId="6" applyFont="1" applyFill="1" applyBorder="1" applyAlignment="1" applyProtection="1">
      <alignment horizontal="left" vertical="center"/>
    </xf>
    <xf numFmtId="8" fontId="26" fillId="6" borderId="1" xfId="8" applyNumberFormat="1" applyFont="1" applyFill="1" applyBorder="1" applyAlignment="1" applyProtection="1">
      <alignment horizontal="right" vertical="center"/>
      <protection locked="0"/>
    </xf>
    <xf numFmtId="8" fontId="26" fillId="5" borderId="1" xfId="8" applyNumberFormat="1" applyFont="1" applyFill="1" applyBorder="1" applyAlignment="1" applyProtection="1">
      <alignment horizontal="right" vertical="center"/>
    </xf>
    <xf numFmtId="175" fontId="26" fillId="5" borderId="27" xfId="6" applyNumberFormat="1" applyFont="1" applyFill="1" applyBorder="1" applyAlignment="1" applyProtection="1">
      <alignment horizontal="center" vertical="center"/>
    </xf>
    <xf numFmtId="0" fontId="26" fillId="5" borderId="80" xfId="6" applyFont="1" applyFill="1" applyBorder="1" applyAlignment="1" applyProtection="1">
      <alignment horizontal="center" vertical="center"/>
    </xf>
    <xf numFmtId="0" fontId="16" fillId="0" borderId="45" xfId="5" applyFont="1" applyFill="1" applyBorder="1" applyAlignment="1" applyProtection="1">
      <alignment horizontal="center" vertical="center"/>
    </xf>
    <xf numFmtId="0" fontId="14" fillId="0" borderId="71" xfId="0" applyFont="1" applyFill="1" applyBorder="1" applyAlignment="1" applyProtection="1">
      <alignment horizontal="right"/>
    </xf>
    <xf numFmtId="167" fontId="14" fillId="0" borderId="45" xfId="2" applyNumberFormat="1" applyFont="1" applyFill="1" applyBorder="1" applyAlignment="1" applyProtection="1">
      <alignment horizontal="left"/>
    </xf>
    <xf numFmtId="176" fontId="14" fillId="0" borderId="11" xfId="3" applyNumberFormat="1" applyFont="1" applyFill="1" applyBorder="1" applyAlignment="1" applyProtection="1">
      <alignment horizontal="right"/>
    </xf>
    <xf numFmtId="176" fontId="14" fillId="0" borderId="12" xfId="3" applyNumberFormat="1" applyFont="1" applyFill="1" applyBorder="1" applyAlignment="1" applyProtection="1">
      <alignment horizontal="right"/>
    </xf>
    <xf numFmtId="0" fontId="40" fillId="18" borderId="0" xfId="13" applyFont="1" applyFill="1" applyAlignment="1">
      <alignment vertical="center"/>
    </xf>
    <xf numFmtId="0" fontId="14" fillId="0" borderId="0" xfId="0" applyFont="1" applyFill="1" applyBorder="1" applyAlignment="1" applyProtection="1">
      <alignment horizontal="center"/>
    </xf>
    <xf numFmtId="0" fontId="48" fillId="16" borderId="0" xfId="14" applyFont="1" applyFill="1"/>
    <xf numFmtId="0" fontId="30" fillId="4" borderId="80" xfId="9" applyFont="1" applyFill="1" applyBorder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44" fontId="14" fillId="6" borderId="11" xfId="15" applyFont="1" applyFill="1" applyBorder="1" applyAlignment="1" applyProtection="1">
      <alignment horizontal="center"/>
      <protection locked="0"/>
    </xf>
    <xf numFmtId="0" fontId="21" fillId="9" borderId="21" xfId="9" applyFont="1" applyFill="1" applyBorder="1" applyAlignment="1">
      <alignment horizontal="center" vertical="center" wrapText="1"/>
    </xf>
    <xf numFmtId="0" fontId="21" fillId="9" borderId="19" xfId="9" applyFont="1" applyFill="1" applyBorder="1" applyAlignment="1">
      <alignment horizontal="center" vertical="center" wrapText="1"/>
    </xf>
    <xf numFmtId="0" fontId="31" fillId="4" borderId="41" xfId="9" applyFont="1" applyFill="1" applyBorder="1" applyAlignment="1">
      <alignment vertical="center" wrapText="1"/>
    </xf>
    <xf numFmtId="0" fontId="31" fillId="4" borderId="43" xfId="9" applyFont="1" applyFill="1" applyBorder="1" applyAlignment="1">
      <alignment vertical="center" wrapText="1"/>
    </xf>
    <xf numFmtId="44" fontId="24" fillId="9" borderId="80" xfId="15" applyFont="1" applyFill="1" applyBorder="1" applyAlignment="1" applyProtection="1">
      <alignment horizontal="right" vertical="center"/>
    </xf>
    <xf numFmtId="0" fontId="32" fillId="18" borderId="0" xfId="0" applyFont="1" applyFill="1" applyAlignment="1">
      <alignment vertical="center" wrapText="1"/>
    </xf>
    <xf numFmtId="0" fontId="2" fillId="0" borderId="1" xfId="9" applyFont="1" applyBorder="1" applyAlignment="1">
      <alignment vertical="center" wrapText="1"/>
    </xf>
    <xf numFmtId="176" fontId="14" fillId="0" borderId="12" xfId="3" applyNumberFormat="1" applyFont="1" applyFill="1" applyBorder="1" applyAlignment="1" applyProtection="1"/>
    <xf numFmtId="2" fontId="14" fillId="0" borderId="12" xfId="3" applyNumberFormat="1" applyFont="1" applyFill="1" applyBorder="1" applyAlignment="1" applyProtection="1">
      <alignment horizontal="right"/>
    </xf>
    <xf numFmtId="0" fontId="1" fillId="0" borderId="1" xfId="9" applyFont="1" applyBorder="1" applyAlignment="1">
      <alignment vertical="center" wrapText="1"/>
    </xf>
    <xf numFmtId="0" fontId="26" fillId="5" borderId="22" xfId="6" applyFont="1" applyFill="1" applyBorder="1" applyAlignment="1">
      <alignment vertical="center" wrapText="1"/>
    </xf>
    <xf numFmtId="175" fontId="26" fillId="5" borderId="21" xfId="6" applyNumberFormat="1" applyFont="1" applyFill="1" applyBorder="1" applyAlignment="1">
      <alignment horizontal="center" vertical="center"/>
    </xf>
    <xf numFmtId="8" fontId="26" fillId="6" borderId="17" xfId="8" applyNumberFormat="1" applyFont="1" applyFill="1" applyBorder="1" applyAlignment="1" applyProtection="1">
      <alignment horizontal="right" vertical="center"/>
      <protection locked="0"/>
    </xf>
    <xf numFmtId="0" fontId="43" fillId="16" borderId="0" xfId="14" applyFont="1" applyFill="1" applyAlignment="1">
      <alignment horizontal="left" vertical="top" wrapText="1"/>
    </xf>
    <xf numFmtId="0" fontId="43" fillId="16" borderId="0" xfId="14" applyFont="1" applyFill="1" applyAlignment="1">
      <alignment horizontal="center" vertical="center" wrapText="1"/>
    </xf>
    <xf numFmtId="0" fontId="45" fillId="16" borderId="0" xfId="14" applyFont="1" applyFill="1" applyAlignment="1">
      <alignment horizontal="center" vertical="top" wrapText="1"/>
    </xf>
    <xf numFmtId="0" fontId="32" fillId="16" borderId="0" xfId="14" applyFont="1" applyFill="1" applyAlignment="1">
      <alignment horizontal="left" vertical="center" wrapText="1"/>
    </xf>
    <xf numFmtId="0" fontId="27" fillId="18" borderId="0" xfId="6" applyFont="1" applyFill="1" applyBorder="1" applyAlignment="1" applyProtection="1">
      <alignment horizontal="center" vertical="center"/>
    </xf>
    <xf numFmtId="0" fontId="24" fillId="9" borderId="4" xfId="6" applyFont="1" applyFill="1" applyBorder="1" applyAlignment="1" applyProtection="1">
      <alignment horizontal="left" vertical="center"/>
    </xf>
    <xf numFmtId="0" fontId="24" fillId="9" borderId="5" xfId="6" applyFont="1" applyFill="1" applyBorder="1" applyAlignment="1" applyProtection="1">
      <alignment horizontal="left" vertical="center"/>
    </xf>
    <xf numFmtId="0" fontId="26" fillId="5" borderId="4" xfId="6" applyFont="1" applyFill="1" applyBorder="1" applyAlignment="1" applyProtection="1">
      <alignment horizontal="center" vertical="center"/>
    </xf>
    <xf numFmtId="0" fontId="26" fillId="5" borderId="32" xfId="6" applyFont="1" applyFill="1" applyBorder="1" applyAlignment="1" applyProtection="1">
      <alignment horizontal="center" vertical="center"/>
    </xf>
    <xf numFmtId="0" fontId="41" fillId="18" borderId="0" xfId="13" applyFont="1" applyFill="1" applyBorder="1" applyAlignment="1">
      <alignment horizontal="left" vertical="center"/>
    </xf>
    <xf numFmtId="0" fontId="41" fillId="18" borderId="91" xfId="13" applyFont="1" applyFill="1" applyBorder="1" applyAlignment="1">
      <alignment horizontal="left" vertical="center"/>
    </xf>
    <xf numFmtId="0" fontId="26" fillId="5" borderId="93" xfId="6" applyFont="1" applyFill="1" applyBorder="1" applyAlignment="1" applyProtection="1">
      <alignment horizontal="center" vertical="center"/>
    </xf>
    <xf numFmtId="0" fontId="26" fillId="5" borderId="94" xfId="6" applyFont="1" applyFill="1" applyBorder="1" applyAlignment="1" applyProtection="1">
      <alignment horizontal="center" vertical="center"/>
    </xf>
    <xf numFmtId="14" fontId="32" fillId="18" borderId="0" xfId="0" applyNumberFormat="1" applyFont="1" applyFill="1" applyBorder="1" applyAlignment="1">
      <alignment horizontal="justify" vertical="center" wrapText="1"/>
    </xf>
    <xf numFmtId="14" fontId="32" fillId="18" borderId="90" xfId="0" applyNumberFormat="1" applyFont="1" applyFill="1" applyBorder="1" applyAlignment="1">
      <alignment horizontal="justify" vertical="center" wrapText="1"/>
    </xf>
    <xf numFmtId="0" fontId="32" fillId="18" borderId="0" xfId="0" applyFont="1" applyFill="1" applyAlignment="1">
      <alignment horizontal="justify" vertical="center" wrapText="1"/>
    </xf>
    <xf numFmtId="0" fontId="42" fillId="0" borderId="0" xfId="13" applyFont="1" applyBorder="1" applyAlignment="1">
      <alignment horizontal="left" vertical="center"/>
    </xf>
    <xf numFmtId="0" fontId="42" fillId="0" borderId="3" xfId="13" applyFont="1" applyBorder="1" applyAlignment="1">
      <alignment horizontal="left" vertical="center"/>
    </xf>
    <xf numFmtId="8" fontId="24" fillId="9" borderId="92" xfId="6" applyNumberFormat="1" applyFont="1" applyFill="1" applyBorder="1" applyAlignment="1" applyProtection="1">
      <alignment horizontal="center" vertical="center"/>
    </xf>
    <xf numFmtId="8" fontId="24" fillId="9" borderId="96" xfId="6" applyNumberFormat="1" applyFont="1" applyFill="1" applyBorder="1" applyAlignment="1" applyProtection="1">
      <alignment horizontal="center" vertical="center"/>
    </xf>
    <xf numFmtId="0" fontId="26" fillId="9" borderId="93" xfId="6" applyFont="1" applyFill="1" applyBorder="1" applyAlignment="1" applyProtection="1">
      <alignment horizontal="center" vertical="center"/>
    </xf>
    <xf numFmtId="0" fontId="26" fillId="9" borderId="94" xfId="6" applyFont="1" applyFill="1" applyBorder="1" applyAlignment="1" applyProtection="1">
      <alignment horizontal="center" vertical="center"/>
    </xf>
    <xf numFmtId="0" fontId="26" fillId="18" borderId="93" xfId="6" applyFont="1" applyFill="1" applyBorder="1" applyAlignment="1" applyProtection="1">
      <alignment horizontal="center" vertical="center"/>
    </xf>
    <xf numFmtId="0" fontId="26" fillId="18" borderId="94" xfId="6" applyFont="1" applyFill="1" applyBorder="1" applyAlignment="1" applyProtection="1">
      <alignment horizontal="center" vertical="center"/>
    </xf>
    <xf numFmtId="0" fontId="30" fillId="10" borderId="60" xfId="0" applyFont="1" applyFill="1" applyBorder="1" applyAlignment="1">
      <alignment horizontal="center" vertical="center"/>
    </xf>
    <xf numFmtId="0" fontId="30" fillId="10" borderId="61" xfId="0" applyFont="1" applyFill="1" applyBorder="1" applyAlignment="1">
      <alignment horizontal="center" vertical="center"/>
    </xf>
    <xf numFmtId="0" fontId="30" fillId="10" borderId="62" xfId="0" applyFont="1" applyFill="1" applyBorder="1" applyAlignment="1">
      <alignment horizontal="center" vertical="center"/>
    </xf>
    <xf numFmtId="0" fontId="30" fillId="8" borderId="60" xfId="0" applyFont="1" applyFill="1" applyBorder="1" applyAlignment="1">
      <alignment horizontal="center" vertical="center"/>
    </xf>
    <xf numFmtId="0" fontId="30" fillId="8" borderId="61" xfId="0" applyFont="1" applyFill="1" applyBorder="1" applyAlignment="1">
      <alignment horizontal="center" vertical="center"/>
    </xf>
    <xf numFmtId="0" fontId="30" fillId="8" borderId="62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0" fillId="7" borderId="62" xfId="0" applyFont="1" applyFill="1" applyBorder="1" applyAlignment="1">
      <alignment horizontal="center" vertical="center"/>
    </xf>
    <xf numFmtId="0" fontId="32" fillId="18" borderId="90" xfId="0" applyFont="1" applyFill="1" applyBorder="1" applyAlignment="1">
      <alignment horizontal="justify" vertical="center" wrapText="1"/>
    </xf>
    <xf numFmtId="165" fontId="13" fillId="12" borderId="37" xfId="3" applyNumberFormat="1" applyFont="1" applyFill="1" applyBorder="1" applyAlignment="1" applyProtection="1">
      <alignment horizontal="center" vertical="center" wrapText="1"/>
    </xf>
    <xf numFmtId="165" fontId="13" fillId="12" borderId="46" xfId="3" applyNumberFormat="1" applyFont="1" applyFill="1" applyBorder="1" applyAlignment="1" applyProtection="1">
      <alignment horizontal="center" vertical="center" wrapText="1"/>
    </xf>
    <xf numFmtId="165" fontId="13" fillId="12" borderId="47" xfId="3" applyNumberFormat="1" applyFont="1" applyFill="1" applyBorder="1" applyAlignment="1" applyProtection="1">
      <alignment horizontal="center" vertical="center" wrapText="1"/>
    </xf>
    <xf numFmtId="165" fontId="13" fillId="14" borderId="37" xfId="3" applyNumberFormat="1" applyFont="1" applyFill="1" applyBorder="1" applyAlignment="1" applyProtection="1">
      <alignment horizontal="center" vertical="center" wrapText="1"/>
    </xf>
    <xf numFmtId="165" fontId="13" fillId="14" borderId="46" xfId="3" applyNumberFormat="1" applyFont="1" applyFill="1" applyBorder="1" applyAlignment="1" applyProtection="1">
      <alignment horizontal="center" vertical="center" wrapText="1"/>
    </xf>
    <xf numFmtId="165" fontId="13" fillId="14" borderId="47" xfId="3" applyNumberFormat="1" applyFont="1" applyFill="1" applyBorder="1" applyAlignment="1" applyProtection="1">
      <alignment horizontal="center" vertical="center" wrapText="1"/>
    </xf>
    <xf numFmtId="165" fontId="13" fillId="8" borderId="37" xfId="3" applyNumberFormat="1" applyFont="1" applyFill="1" applyBorder="1" applyAlignment="1" applyProtection="1">
      <alignment horizontal="center" vertical="center" wrapText="1"/>
    </xf>
    <xf numFmtId="165" fontId="13" fillId="8" borderId="46" xfId="3" applyNumberFormat="1" applyFont="1" applyFill="1" applyBorder="1" applyAlignment="1" applyProtection="1">
      <alignment horizontal="center" vertical="center" wrapText="1"/>
    </xf>
    <xf numFmtId="165" fontId="13" fillId="8" borderId="47" xfId="3" applyNumberFormat="1" applyFont="1" applyFill="1" applyBorder="1" applyAlignment="1" applyProtection="1">
      <alignment horizontal="center" vertical="center" wrapText="1"/>
    </xf>
    <xf numFmtId="0" fontId="26" fillId="8" borderId="2" xfId="6" applyFont="1" applyFill="1" applyBorder="1" applyAlignment="1">
      <alignment horizontal="center" vertical="center" wrapText="1"/>
    </xf>
    <xf numFmtId="0" fontId="26" fillId="8" borderId="9" xfId="6" applyFont="1" applyFill="1" applyBorder="1" applyAlignment="1">
      <alignment horizontal="center" vertical="center" wrapText="1"/>
    </xf>
    <xf numFmtId="168" fontId="24" fillId="5" borderId="27" xfId="6" applyNumberFormat="1" applyFont="1" applyFill="1" applyBorder="1" applyAlignment="1">
      <alignment horizontal="center" vertical="center" wrapText="1"/>
    </xf>
    <xf numFmtId="168" fontId="24" fillId="5" borderId="24" xfId="6" applyNumberFormat="1" applyFont="1" applyFill="1" applyBorder="1" applyAlignment="1">
      <alignment horizontal="center" vertical="center" wrapText="1"/>
    </xf>
    <xf numFmtId="9" fontId="24" fillId="4" borderId="19" xfId="7" applyFont="1" applyFill="1" applyBorder="1" applyAlignment="1">
      <alignment horizontal="center" vertical="center" wrapText="1"/>
    </xf>
    <xf numFmtId="9" fontId="24" fillId="4" borderId="18" xfId="7" applyFont="1" applyFill="1" applyBorder="1" applyAlignment="1">
      <alignment horizontal="center" vertical="center" wrapText="1"/>
    </xf>
    <xf numFmtId="0" fontId="25" fillId="18" borderId="20" xfId="6" applyFont="1" applyFill="1" applyBorder="1" applyAlignment="1">
      <alignment horizontal="left" vertical="center" wrapText="1"/>
    </xf>
    <xf numFmtId="0" fontId="25" fillId="18" borderId="21" xfId="6" applyFont="1" applyFill="1" applyBorder="1" applyAlignment="1">
      <alignment horizontal="left" vertical="center" wrapText="1"/>
    </xf>
    <xf numFmtId="0" fontId="24" fillId="18" borderId="20" xfId="6" applyFont="1" applyFill="1" applyBorder="1" applyAlignment="1">
      <alignment horizontal="left" vertical="center" wrapText="1"/>
    </xf>
    <xf numFmtId="0" fontId="24" fillId="18" borderId="21" xfId="6" applyFont="1" applyFill="1" applyBorder="1" applyAlignment="1">
      <alignment horizontal="left" vertical="center" wrapText="1"/>
    </xf>
    <xf numFmtId="0" fontId="25" fillId="18" borderId="17" xfId="6" applyFont="1" applyFill="1" applyBorder="1" applyAlignment="1">
      <alignment horizontal="left" vertical="center" wrapText="1"/>
    </xf>
    <xf numFmtId="0" fontId="25" fillId="18" borderId="19" xfId="6" applyFont="1" applyFill="1" applyBorder="1" applyAlignment="1">
      <alignment horizontal="left" vertical="center" wrapText="1"/>
    </xf>
    <xf numFmtId="0" fontId="25" fillId="18" borderId="22" xfId="6" applyFont="1" applyFill="1" applyBorder="1" applyAlignment="1">
      <alignment horizontal="left" vertical="center" wrapText="1"/>
    </xf>
    <xf numFmtId="49" fontId="24" fillId="18" borderId="20" xfId="6" applyNumberFormat="1" applyFont="1" applyFill="1" applyBorder="1" applyAlignment="1">
      <alignment horizontal="left" vertical="center" wrapText="1"/>
    </xf>
    <xf numFmtId="49" fontId="24" fillId="18" borderId="21" xfId="6" applyNumberFormat="1" applyFont="1" applyFill="1" applyBorder="1" applyAlignment="1">
      <alignment horizontal="left" vertical="center" wrapText="1"/>
    </xf>
    <xf numFmtId="0" fontId="24" fillId="18" borderId="22" xfId="6" applyFont="1" applyFill="1" applyBorder="1" applyAlignment="1">
      <alignment horizontal="left" vertical="center" wrapText="1"/>
    </xf>
    <xf numFmtId="0" fontId="24" fillId="18" borderId="23" xfId="6" applyFont="1" applyFill="1" applyBorder="1" applyAlignment="1">
      <alignment horizontal="left" vertical="center" wrapText="1"/>
    </xf>
    <xf numFmtId="0" fontId="24" fillId="8" borderId="80" xfId="6" applyFont="1" applyFill="1" applyBorder="1" applyAlignment="1">
      <alignment horizontal="center" vertical="center" wrapText="1"/>
    </xf>
    <xf numFmtId="0" fontId="27" fillId="18" borderId="0" xfId="6" applyFont="1" applyFill="1" applyAlignment="1">
      <alignment horizontal="left" vertical="center" wrapText="1"/>
    </xf>
    <xf numFmtId="0" fontId="24" fillId="18" borderId="0" xfId="6" applyFont="1" applyFill="1" applyAlignment="1">
      <alignment horizontal="left" vertical="center" wrapText="1"/>
    </xf>
    <xf numFmtId="0" fontId="25" fillId="5" borderId="21" xfId="6" applyFont="1" applyFill="1" applyBorder="1" applyAlignment="1">
      <alignment horizontal="left" vertical="center" wrapText="1"/>
    </xf>
    <xf numFmtId="0" fontId="25" fillId="5" borderId="22" xfId="6" applyFont="1" applyFill="1" applyBorder="1" applyAlignment="1">
      <alignment horizontal="left" vertical="center" wrapText="1"/>
    </xf>
    <xf numFmtId="0" fontId="25" fillId="0" borderId="0" xfId="6" applyFont="1" applyBorder="1" applyAlignment="1">
      <alignment horizontal="left" vertical="center" wrapText="1"/>
    </xf>
    <xf numFmtId="0" fontId="25" fillId="0" borderId="31" xfId="6" applyFont="1" applyBorder="1" applyAlignment="1">
      <alignment horizontal="left" vertical="center" wrapText="1"/>
    </xf>
    <xf numFmtId="0" fontId="25" fillId="0" borderId="3" xfId="6" applyFont="1" applyBorder="1" applyAlignment="1">
      <alignment horizontal="left" vertical="center" wrapText="1"/>
    </xf>
    <xf numFmtId="0" fontId="25" fillId="0" borderId="9" xfId="6" applyFont="1" applyBorder="1" applyAlignment="1">
      <alignment horizontal="left" vertical="center" wrapText="1"/>
    </xf>
    <xf numFmtId="0" fontId="25" fillId="5" borderId="29" xfId="6" applyFont="1" applyFill="1" applyBorder="1" applyAlignment="1">
      <alignment horizontal="left" vertical="center" wrapText="1"/>
    </xf>
    <xf numFmtId="0" fontId="25" fillId="5" borderId="28" xfId="6" applyFont="1" applyFill="1" applyBorder="1" applyAlignment="1">
      <alignment horizontal="left" vertical="center" wrapText="1"/>
    </xf>
    <xf numFmtId="49" fontId="24" fillId="5" borderId="20" xfId="6" applyNumberFormat="1" applyFont="1" applyFill="1" applyBorder="1" applyAlignment="1">
      <alignment horizontal="left" vertical="center" wrapText="1"/>
    </xf>
    <xf numFmtId="49" fontId="24" fillId="5" borderId="21" xfId="6" applyNumberFormat="1" applyFont="1" applyFill="1" applyBorder="1" applyAlignment="1">
      <alignment horizontal="left" vertical="center" wrapText="1"/>
    </xf>
    <xf numFmtId="0" fontId="24" fillId="2" borderId="30" xfId="9" applyFont="1" applyFill="1" applyBorder="1" applyAlignment="1">
      <alignment horizontal="center" vertical="center" wrapText="1"/>
    </xf>
    <xf numFmtId="0" fontId="24" fillId="2" borderId="44" xfId="9" applyFont="1" applyFill="1" applyBorder="1" applyAlignment="1">
      <alignment horizontal="center" vertical="center" wrapText="1"/>
    </xf>
    <xf numFmtId="0" fontId="30" fillId="2" borderId="30" xfId="9" applyFont="1" applyFill="1" applyBorder="1" applyAlignment="1">
      <alignment horizontal="center" vertical="center" wrapText="1"/>
    </xf>
    <xf numFmtId="0" fontId="30" fillId="2" borderId="44" xfId="9" applyFont="1" applyFill="1" applyBorder="1" applyAlignment="1">
      <alignment horizontal="center" vertical="center" wrapText="1"/>
    </xf>
    <xf numFmtId="0" fontId="34" fillId="9" borderId="28" xfId="9" applyFont="1" applyFill="1" applyBorder="1" applyAlignment="1">
      <alignment horizontal="left" vertical="center"/>
    </xf>
    <xf numFmtId="0" fontId="34" fillId="9" borderId="33" xfId="9" applyFont="1" applyFill="1" applyBorder="1" applyAlignment="1">
      <alignment horizontal="left" vertical="center"/>
    </xf>
    <xf numFmtId="0" fontId="34" fillId="9" borderId="21" xfId="9" applyFont="1" applyFill="1" applyBorder="1" applyAlignment="1">
      <alignment horizontal="left" vertical="center"/>
    </xf>
    <xf numFmtId="0" fontId="34" fillId="9" borderId="22" xfId="9" applyFont="1" applyFill="1" applyBorder="1" applyAlignment="1">
      <alignment horizontal="left" vertical="center"/>
    </xf>
    <xf numFmtId="0" fontId="35" fillId="9" borderId="6" xfId="9" applyFont="1" applyFill="1" applyBorder="1" applyAlignment="1">
      <alignment horizontal="center" vertical="center"/>
    </xf>
    <xf numFmtId="0" fontId="35" fillId="9" borderId="8" xfId="9" applyFont="1" applyFill="1" applyBorder="1" applyAlignment="1">
      <alignment horizontal="center" vertical="center"/>
    </xf>
    <xf numFmtId="0" fontId="35" fillId="5" borderId="29" xfId="9" applyFont="1" applyFill="1" applyBorder="1" applyAlignment="1">
      <alignment horizontal="center" vertical="center" wrapText="1"/>
    </xf>
    <xf numFmtId="0" fontId="35" fillId="5" borderId="20" xfId="9" applyFont="1" applyFill="1" applyBorder="1" applyAlignment="1">
      <alignment horizontal="center" vertical="center" wrapText="1"/>
    </xf>
    <xf numFmtId="0" fontId="33" fillId="8" borderId="6" xfId="9" applyFont="1" applyFill="1" applyBorder="1" applyAlignment="1">
      <alignment horizontal="center" vertical="center" wrapText="1"/>
    </xf>
    <xf numFmtId="0" fontId="33" fillId="8" borderId="7" xfId="9" applyFont="1" applyFill="1" applyBorder="1" applyAlignment="1">
      <alignment horizontal="center" vertical="center" wrapText="1"/>
    </xf>
    <xf numFmtId="0" fontId="33" fillId="8" borderId="8" xfId="9" applyFont="1" applyFill="1" applyBorder="1" applyAlignment="1">
      <alignment horizontal="center" vertical="center" wrapText="1"/>
    </xf>
    <xf numFmtId="44" fontId="14" fillId="6" borderId="11" xfId="15" applyFont="1" applyFill="1" applyBorder="1" applyAlignment="1" applyProtection="1">
      <protection locked="0"/>
    </xf>
    <xf numFmtId="0" fontId="19" fillId="3" borderId="13" xfId="0" applyFont="1" applyFill="1" applyBorder="1" applyAlignment="1" applyProtection="1">
      <alignment horizontal="left" vertical="center"/>
    </xf>
    <xf numFmtId="0" fontId="20" fillId="3" borderId="13" xfId="0" applyFont="1" applyFill="1" applyBorder="1" applyAlignment="1" applyProtection="1">
      <alignment horizontal="left" vertical="center"/>
    </xf>
    <xf numFmtId="0" fontId="20" fillId="3" borderId="13" xfId="0" applyFont="1" applyFill="1" applyBorder="1" applyAlignment="1" applyProtection="1">
      <alignment horizontal="center" vertical="center"/>
    </xf>
    <xf numFmtId="0" fontId="20" fillId="3" borderId="13" xfId="0" applyFont="1" applyFill="1" applyBorder="1" applyAlignment="1" applyProtection="1">
      <alignment horizontal="right" vertical="center"/>
    </xf>
    <xf numFmtId="4" fontId="19" fillId="3" borderId="13" xfId="0" applyNumberFormat="1" applyFont="1" applyFill="1" applyBorder="1" applyAlignment="1" applyProtection="1">
      <alignment horizontal="right" vertical="center"/>
    </xf>
    <xf numFmtId="167" fontId="20" fillId="3" borderId="13" xfId="2" applyNumberFormat="1" applyFont="1" applyFill="1" applyBorder="1" applyAlignment="1" applyProtection="1">
      <alignment horizontal="left" vertical="center"/>
    </xf>
    <xf numFmtId="0" fontId="20" fillId="3" borderId="13" xfId="0" applyFont="1" applyFill="1" applyBorder="1" applyAlignment="1" applyProtection="1">
      <alignment vertical="center" wrapText="1"/>
    </xf>
    <xf numFmtId="0" fontId="20" fillId="3" borderId="53" xfId="0" applyNumberFormat="1" applyFont="1" applyFill="1" applyBorder="1" applyAlignment="1" applyProtection="1">
      <alignment horizontal="center" vertical="center"/>
    </xf>
    <xf numFmtId="4" fontId="18" fillId="3" borderId="54" xfId="0" applyNumberFormat="1" applyFont="1" applyFill="1" applyBorder="1" applyAlignment="1" applyProtection="1">
      <alignment horizontal="right" vertical="center"/>
    </xf>
    <xf numFmtId="2" fontId="20" fillId="3" borderId="54" xfId="0" applyNumberFormat="1" applyFont="1" applyFill="1" applyBorder="1" applyAlignment="1" applyProtection="1">
      <alignment horizontal="center" vertical="center"/>
    </xf>
    <xf numFmtId="0" fontId="20" fillId="3" borderId="54" xfId="0" applyFont="1" applyFill="1" applyBorder="1" applyAlignment="1" applyProtection="1">
      <alignment vertical="center"/>
    </xf>
    <xf numFmtId="0" fontId="20" fillId="3" borderId="53" xfId="0" applyFont="1" applyFill="1" applyBorder="1" applyAlignment="1" applyProtection="1">
      <alignment vertical="center"/>
    </xf>
    <xf numFmtId="4" fontId="19" fillId="3" borderId="53" xfId="0" applyNumberFormat="1" applyFont="1" applyFill="1" applyBorder="1" applyAlignment="1" applyProtection="1">
      <alignment horizontal="center" vertical="center"/>
    </xf>
    <xf numFmtId="4" fontId="19" fillId="3" borderId="54" xfId="0" applyNumberFormat="1" applyFont="1" applyFill="1" applyBorder="1" applyAlignment="1" applyProtection="1">
      <alignment horizontal="center" vertical="center"/>
    </xf>
    <xf numFmtId="177" fontId="20" fillId="3" borderId="67" xfId="0" applyNumberFormat="1" applyFont="1" applyFill="1" applyBorder="1" applyAlignment="1" applyProtection="1">
      <alignment vertical="center"/>
    </xf>
    <xf numFmtId="44" fontId="19" fillId="3" borderId="55" xfId="15" applyFont="1" applyFill="1" applyBorder="1" applyAlignment="1" applyProtection="1">
      <alignment horizontal="center" vertical="center"/>
    </xf>
    <xf numFmtId="44" fontId="18" fillId="3" borderId="54" xfId="15" applyFont="1" applyFill="1" applyBorder="1" applyAlignment="1" applyProtection="1">
      <alignment horizontal="right" vertical="center"/>
    </xf>
    <xf numFmtId="44" fontId="14" fillId="0" borderId="51" xfId="15" applyFont="1" applyFill="1" applyBorder="1" applyAlignment="1" applyProtection="1">
      <alignment horizontal="center"/>
    </xf>
    <xf numFmtId="44" fontId="14" fillId="0" borderId="51" xfId="15" applyFont="1" applyFill="1" applyBorder="1" applyAlignment="1" applyProtection="1"/>
  </cellXfs>
  <cellStyles count="16">
    <cellStyle name="Euro" xfId="1" xr:uid="{00000000-0005-0000-0000-000000000000}"/>
    <cellStyle name="Euro 2" xfId="8" xr:uid="{00000000-0005-0000-0000-000001000000}"/>
    <cellStyle name="Euro 3" xfId="2" xr:uid="{00000000-0005-0000-0000-000002000000}"/>
    <cellStyle name="Euro 3 2" xfId="11" xr:uid="{00000000-0005-0000-0000-000003000000}"/>
    <cellStyle name="Euro 4" xfId="12" xr:uid="{00000000-0005-0000-0000-000004000000}"/>
    <cellStyle name="Komma" xfId="3" builtinId="3"/>
    <cellStyle name="Komma 2" xfId="10" xr:uid="{00000000-0005-0000-0000-000006000000}"/>
    <cellStyle name="Prozent 2" xfId="7" xr:uid="{00000000-0005-0000-0000-000007000000}"/>
    <cellStyle name="Standard" xfId="0" builtinId="0"/>
    <cellStyle name="Standard 2" xfId="4" xr:uid="{00000000-0005-0000-0000-000009000000}"/>
    <cellStyle name="Standard 2 2" xfId="6" xr:uid="{00000000-0005-0000-0000-00000A000000}"/>
    <cellStyle name="Standard 3" xfId="9" xr:uid="{00000000-0005-0000-0000-00000B000000}"/>
    <cellStyle name="Standard 3 2" xfId="13" xr:uid="{00000000-0005-0000-0000-00000C000000}"/>
    <cellStyle name="Standard 4" xfId="14" xr:uid="{00000000-0005-0000-0000-00000D000000}"/>
    <cellStyle name="Standard_Mappe1" xfId="5" xr:uid="{00000000-0005-0000-0000-00000E000000}"/>
    <cellStyle name="Währung" xfId="15" builtinId="4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view="pageBreakPreview" zoomScale="110" zoomScaleNormal="100" zoomScaleSheetLayoutView="110" workbookViewId="0">
      <selection activeCell="B13" sqref="B13"/>
    </sheetView>
  </sheetViews>
  <sheetFormatPr baseColWidth="10" defaultRowHeight="13.8"/>
  <cols>
    <col min="1" max="1" width="24.6640625" style="224" customWidth="1"/>
    <col min="2" max="2" width="61.44140625" style="224" customWidth="1"/>
    <col min="3" max="256" width="11.44140625" style="224"/>
    <col min="257" max="257" width="24.6640625" style="224" customWidth="1"/>
    <col min="258" max="258" width="61.44140625" style="224" customWidth="1"/>
    <col min="259" max="512" width="11.44140625" style="224"/>
    <col min="513" max="513" width="24.6640625" style="224" customWidth="1"/>
    <col min="514" max="514" width="61.44140625" style="224" customWidth="1"/>
    <col min="515" max="768" width="11.44140625" style="224"/>
    <col min="769" max="769" width="24.6640625" style="224" customWidth="1"/>
    <col min="770" max="770" width="61.44140625" style="224" customWidth="1"/>
    <col min="771" max="1024" width="11.44140625" style="224"/>
    <col min="1025" max="1025" width="24.6640625" style="224" customWidth="1"/>
    <col min="1026" max="1026" width="61.44140625" style="224" customWidth="1"/>
    <col min="1027" max="1280" width="11.44140625" style="224"/>
    <col min="1281" max="1281" width="24.6640625" style="224" customWidth="1"/>
    <col min="1282" max="1282" width="61.44140625" style="224" customWidth="1"/>
    <col min="1283" max="1536" width="11.44140625" style="224"/>
    <col min="1537" max="1537" width="24.6640625" style="224" customWidth="1"/>
    <col min="1538" max="1538" width="61.44140625" style="224" customWidth="1"/>
    <col min="1539" max="1792" width="11.44140625" style="224"/>
    <col min="1793" max="1793" width="24.6640625" style="224" customWidth="1"/>
    <col min="1794" max="1794" width="61.44140625" style="224" customWidth="1"/>
    <col min="1795" max="2048" width="11.44140625" style="224"/>
    <col min="2049" max="2049" width="24.6640625" style="224" customWidth="1"/>
    <col min="2050" max="2050" width="61.44140625" style="224" customWidth="1"/>
    <col min="2051" max="2304" width="11.44140625" style="224"/>
    <col min="2305" max="2305" width="24.6640625" style="224" customWidth="1"/>
    <col min="2306" max="2306" width="61.44140625" style="224" customWidth="1"/>
    <col min="2307" max="2560" width="11.44140625" style="224"/>
    <col min="2561" max="2561" width="24.6640625" style="224" customWidth="1"/>
    <col min="2562" max="2562" width="61.44140625" style="224" customWidth="1"/>
    <col min="2563" max="2816" width="11.44140625" style="224"/>
    <col min="2817" max="2817" width="24.6640625" style="224" customWidth="1"/>
    <col min="2818" max="2818" width="61.44140625" style="224" customWidth="1"/>
    <col min="2819" max="3072" width="11.44140625" style="224"/>
    <col min="3073" max="3073" width="24.6640625" style="224" customWidth="1"/>
    <col min="3074" max="3074" width="61.44140625" style="224" customWidth="1"/>
    <col min="3075" max="3328" width="11.44140625" style="224"/>
    <col min="3329" max="3329" width="24.6640625" style="224" customWidth="1"/>
    <col min="3330" max="3330" width="61.44140625" style="224" customWidth="1"/>
    <col min="3331" max="3584" width="11.44140625" style="224"/>
    <col min="3585" max="3585" width="24.6640625" style="224" customWidth="1"/>
    <col min="3586" max="3586" width="61.44140625" style="224" customWidth="1"/>
    <col min="3587" max="3840" width="11.44140625" style="224"/>
    <col min="3841" max="3841" width="24.6640625" style="224" customWidth="1"/>
    <col min="3842" max="3842" width="61.44140625" style="224" customWidth="1"/>
    <col min="3843" max="4096" width="11.44140625" style="224"/>
    <col min="4097" max="4097" width="24.6640625" style="224" customWidth="1"/>
    <col min="4098" max="4098" width="61.44140625" style="224" customWidth="1"/>
    <col min="4099" max="4352" width="11.44140625" style="224"/>
    <col min="4353" max="4353" width="24.6640625" style="224" customWidth="1"/>
    <col min="4354" max="4354" width="61.44140625" style="224" customWidth="1"/>
    <col min="4355" max="4608" width="11.44140625" style="224"/>
    <col min="4609" max="4609" width="24.6640625" style="224" customWidth="1"/>
    <col min="4610" max="4610" width="61.44140625" style="224" customWidth="1"/>
    <col min="4611" max="4864" width="11.44140625" style="224"/>
    <col min="4865" max="4865" width="24.6640625" style="224" customWidth="1"/>
    <col min="4866" max="4866" width="61.44140625" style="224" customWidth="1"/>
    <col min="4867" max="5120" width="11.44140625" style="224"/>
    <col min="5121" max="5121" width="24.6640625" style="224" customWidth="1"/>
    <col min="5122" max="5122" width="61.44140625" style="224" customWidth="1"/>
    <col min="5123" max="5376" width="11.44140625" style="224"/>
    <col min="5377" max="5377" width="24.6640625" style="224" customWidth="1"/>
    <col min="5378" max="5378" width="61.44140625" style="224" customWidth="1"/>
    <col min="5379" max="5632" width="11.44140625" style="224"/>
    <col min="5633" max="5633" width="24.6640625" style="224" customWidth="1"/>
    <col min="5634" max="5634" width="61.44140625" style="224" customWidth="1"/>
    <col min="5635" max="5888" width="11.44140625" style="224"/>
    <col min="5889" max="5889" width="24.6640625" style="224" customWidth="1"/>
    <col min="5890" max="5890" width="61.44140625" style="224" customWidth="1"/>
    <col min="5891" max="6144" width="11.44140625" style="224"/>
    <col min="6145" max="6145" width="24.6640625" style="224" customWidth="1"/>
    <col min="6146" max="6146" width="61.44140625" style="224" customWidth="1"/>
    <col min="6147" max="6400" width="11.44140625" style="224"/>
    <col min="6401" max="6401" width="24.6640625" style="224" customWidth="1"/>
    <col min="6402" max="6402" width="61.44140625" style="224" customWidth="1"/>
    <col min="6403" max="6656" width="11.44140625" style="224"/>
    <col min="6657" max="6657" width="24.6640625" style="224" customWidth="1"/>
    <col min="6658" max="6658" width="61.44140625" style="224" customWidth="1"/>
    <col min="6659" max="6912" width="11.44140625" style="224"/>
    <col min="6913" max="6913" width="24.6640625" style="224" customWidth="1"/>
    <col min="6914" max="6914" width="61.44140625" style="224" customWidth="1"/>
    <col min="6915" max="7168" width="11.44140625" style="224"/>
    <col min="7169" max="7169" width="24.6640625" style="224" customWidth="1"/>
    <col min="7170" max="7170" width="61.44140625" style="224" customWidth="1"/>
    <col min="7171" max="7424" width="11.44140625" style="224"/>
    <col min="7425" max="7425" width="24.6640625" style="224" customWidth="1"/>
    <col min="7426" max="7426" width="61.44140625" style="224" customWidth="1"/>
    <col min="7427" max="7680" width="11.44140625" style="224"/>
    <col min="7681" max="7681" width="24.6640625" style="224" customWidth="1"/>
    <col min="7682" max="7682" width="61.44140625" style="224" customWidth="1"/>
    <col min="7683" max="7936" width="11.44140625" style="224"/>
    <col min="7937" max="7937" width="24.6640625" style="224" customWidth="1"/>
    <col min="7938" max="7938" width="61.44140625" style="224" customWidth="1"/>
    <col min="7939" max="8192" width="11.44140625" style="224"/>
    <col min="8193" max="8193" width="24.6640625" style="224" customWidth="1"/>
    <col min="8194" max="8194" width="61.44140625" style="224" customWidth="1"/>
    <col min="8195" max="8448" width="11.44140625" style="224"/>
    <col min="8449" max="8449" width="24.6640625" style="224" customWidth="1"/>
    <col min="8450" max="8450" width="61.44140625" style="224" customWidth="1"/>
    <col min="8451" max="8704" width="11.44140625" style="224"/>
    <col min="8705" max="8705" width="24.6640625" style="224" customWidth="1"/>
    <col min="8706" max="8706" width="61.44140625" style="224" customWidth="1"/>
    <col min="8707" max="8960" width="11.44140625" style="224"/>
    <col min="8961" max="8961" width="24.6640625" style="224" customWidth="1"/>
    <col min="8962" max="8962" width="61.44140625" style="224" customWidth="1"/>
    <col min="8963" max="9216" width="11.44140625" style="224"/>
    <col min="9217" max="9217" width="24.6640625" style="224" customWidth="1"/>
    <col min="9218" max="9218" width="61.44140625" style="224" customWidth="1"/>
    <col min="9219" max="9472" width="11.44140625" style="224"/>
    <col min="9473" max="9473" width="24.6640625" style="224" customWidth="1"/>
    <col min="9474" max="9474" width="61.44140625" style="224" customWidth="1"/>
    <col min="9475" max="9728" width="11.44140625" style="224"/>
    <col min="9729" max="9729" width="24.6640625" style="224" customWidth="1"/>
    <col min="9730" max="9730" width="61.44140625" style="224" customWidth="1"/>
    <col min="9731" max="9984" width="11.44140625" style="224"/>
    <col min="9985" max="9985" width="24.6640625" style="224" customWidth="1"/>
    <col min="9986" max="9986" width="61.44140625" style="224" customWidth="1"/>
    <col min="9987" max="10240" width="11.44140625" style="224"/>
    <col min="10241" max="10241" width="24.6640625" style="224" customWidth="1"/>
    <col min="10242" max="10242" width="61.44140625" style="224" customWidth="1"/>
    <col min="10243" max="10496" width="11.44140625" style="224"/>
    <col min="10497" max="10497" width="24.6640625" style="224" customWidth="1"/>
    <col min="10498" max="10498" width="61.44140625" style="224" customWidth="1"/>
    <col min="10499" max="10752" width="11.44140625" style="224"/>
    <col min="10753" max="10753" width="24.6640625" style="224" customWidth="1"/>
    <col min="10754" max="10754" width="61.44140625" style="224" customWidth="1"/>
    <col min="10755" max="11008" width="11.44140625" style="224"/>
    <col min="11009" max="11009" width="24.6640625" style="224" customWidth="1"/>
    <col min="11010" max="11010" width="61.44140625" style="224" customWidth="1"/>
    <col min="11011" max="11264" width="11.44140625" style="224"/>
    <col min="11265" max="11265" width="24.6640625" style="224" customWidth="1"/>
    <col min="11266" max="11266" width="61.44140625" style="224" customWidth="1"/>
    <col min="11267" max="11520" width="11.44140625" style="224"/>
    <col min="11521" max="11521" width="24.6640625" style="224" customWidth="1"/>
    <col min="11522" max="11522" width="61.44140625" style="224" customWidth="1"/>
    <col min="11523" max="11776" width="11.44140625" style="224"/>
    <col min="11777" max="11777" width="24.6640625" style="224" customWidth="1"/>
    <col min="11778" max="11778" width="61.44140625" style="224" customWidth="1"/>
    <col min="11779" max="12032" width="11.44140625" style="224"/>
    <col min="12033" max="12033" width="24.6640625" style="224" customWidth="1"/>
    <col min="12034" max="12034" width="61.44140625" style="224" customWidth="1"/>
    <col min="12035" max="12288" width="11.44140625" style="224"/>
    <col min="12289" max="12289" width="24.6640625" style="224" customWidth="1"/>
    <col min="12290" max="12290" width="61.44140625" style="224" customWidth="1"/>
    <col min="12291" max="12544" width="11.44140625" style="224"/>
    <col min="12545" max="12545" width="24.6640625" style="224" customWidth="1"/>
    <col min="12546" max="12546" width="61.44140625" style="224" customWidth="1"/>
    <col min="12547" max="12800" width="11.44140625" style="224"/>
    <col min="12801" max="12801" width="24.6640625" style="224" customWidth="1"/>
    <col min="12802" max="12802" width="61.44140625" style="224" customWidth="1"/>
    <col min="12803" max="13056" width="11.44140625" style="224"/>
    <col min="13057" max="13057" width="24.6640625" style="224" customWidth="1"/>
    <col min="13058" max="13058" width="61.44140625" style="224" customWidth="1"/>
    <col min="13059" max="13312" width="11.44140625" style="224"/>
    <col min="13313" max="13313" width="24.6640625" style="224" customWidth="1"/>
    <col min="13314" max="13314" width="61.44140625" style="224" customWidth="1"/>
    <col min="13315" max="13568" width="11.44140625" style="224"/>
    <col min="13569" max="13569" width="24.6640625" style="224" customWidth="1"/>
    <col min="13570" max="13570" width="61.44140625" style="224" customWidth="1"/>
    <col min="13571" max="13824" width="11.44140625" style="224"/>
    <col min="13825" max="13825" width="24.6640625" style="224" customWidth="1"/>
    <col min="13826" max="13826" width="61.44140625" style="224" customWidth="1"/>
    <col min="13827" max="14080" width="11.44140625" style="224"/>
    <col min="14081" max="14081" width="24.6640625" style="224" customWidth="1"/>
    <col min="14082" max="14082" width="61.44140625" style="224" customWidth="1"/>
    <col min="14083" max="14336" width="11.44140625" style="224"/>
    <col min="14337" max="14337" width="24.6640625" style="224" customWidth="1"/>
    <col min="14338" max="14338" width="61.44140625" style="224" customWidth="1"/>
    <col min="14339" max="14592" width="11.44140625" style="224"/>
    <col min="14593" max="14593" width="24.6640625" style="224" customWidth="1"/>
    <col min="14594" max="14594" width="61.44140625" style="224" customWidth="1"/>
    <col min="14595" max="14848" width="11.44140625" style="224"/>
    <col min="14849" max="14849" width="24.6640625" style="224" customWidth="1"/>
    <col min="14850" max="14850" width="61.44140625" style="224" customWidth="1"/>
    <col min="14851" max="15104" width="11.44140625" style="224"/>
    <col min="15105" max="15105" width="24.6640625" style="224" customWidth="1"/>
    <col min="15106" max="15106" width="61.44140625" style="224" customWidth="1"/>
    <col min="15107" max="15360" width="11.44140625" style="224"/>
    <col min="15361" max="15361" width="24.6640625" style="224" customWidth="1"/>
    <col min="15362" max="15362" width="61.44140625" style="224" customWidth="1"/>
    <col min="15363" max="15616" width="11.44140625" style="224"/>
    <col min="15617" max="15617" width="24.6640625" style="224" customWidth="1"/>
    <col min="15618" max="15618" width="61.44140625" style="224" customWidth="1"/>
    <col min="15619" max="15872" width="11.44140625" style="224"/>
    <col min="15873" max="15873" width="24.6640625" style="224" customWidth="1"/>
    <col min="15874" max="15874" width="61.44140625" style="224" customWidth="1"/>
    <col min="15875" max="16128" width="11.44140625" style="224"/>
    <col min="16129" max="16129" width="24.6640625" style="224" customWidth="1"/>
    <col min="16130" max="16130" width="61.44140625" style="224" customWidth="1"/>
    <col min="16131" max="16384" width="11.44140625" style="224"/>
  </cols>
  <sheetData>
    <row r="1" spans="1:13" ht="21">
      <c r="A1" s="339" t="s">
        <v>634</v>
      </c>
      <c r="B1" s="339"/>
      <c r="C1" s="339"/>
    </row>
    <row r="2" spans="1:13" s="226" customFormat="1" ht="125.25" customHeight="1">
      <c r="A2" s="340" t="s">
        <v>270</v>
      </c>
      <c r="B2" s="340"/>
      <c r="C2" s="340"/>
      <c r="D2" s="340"/>
      <c r="E2" s="340"/>
      <c r="F2" s="225"/>
      <c r="G2" s="225"/>
      <c r="H2" s="225"/>
      <c r="I2" s="225"/>
      <c r="J2" s="341"/>
      <c r="K2" s="341"/>
      <c r="L2" s="341"/>
      <c r="M2" s="341"/>
    </row>
    <row r="4" spans="1:13" s="228" customFormat="1" ht="67.5" customHeight="1">
      <c r="A4" s="342" t="s">
        <v>210</v>
      </c>
      <c r="B4" s="342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</row>
    <row r="6" spans="1:13" ht="15.6">
      <c r="A6" s="229" t="s">
        <v>180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</row>
    <row r="8" spans="1:13">
      <c r="A8" s="224" t="s">
        <v>181</v>
      </c>
    </row>
    <row r="10" spans="1:13" ht="17.25" customHeight="1">
      <c r="A10" s="224" t="s">
        <v>182</v>
      </c>
      <c r="B10" s="291"/>
    </row>
    <row r="11" spans="1:13" ht="5.25" customHeight="1"/>
    <row r="12" spans="1:13" ht="17.25" customHeight="1">
      <c r="A12" s="224" t="s">
        <v>183</v>
      </c>
      <c r="B12" s="291"/>
    </row>
    <row r="13" spans="1:13" ht="3.75" customHeight="1"/>
    <row r="14" spans="1:13" ht="17.25" customHeight="1">
      <c r="A14" s="224" t="s">
        <v>184</v>
      </c>
      <c r="B14" s="291"/>
    </row>
    <row r="15" spans="1:13" ht="5.25" customHeight="1"/>
    <row r="16" spans="1:13" ht="17.25" customHeight="1">
      <c r="A16" s="224" t="s">
        <v>185</v>
      </c>
      <c r="B16" s="291"/>
    </row>
    <row r="17" spans="1:2" ht="6" customHeight="1"/>
    <row r="18" spans="1:2" ht="17.25" customHeight="1">
      <c r="A18" s="224" t="s">
        <v>186</v>
      </c>
      <c r="B18" s="291"/>
    </row>
    <row r="19" spans="1:2" ht="5.25" customHeight="1"/>
    <row r="20" spans="1:2" ht="17.25" customHeight="1">
      <c r="A20" s="224" t="s">
        <v>187</v>
      </c>
      <c r="B20" s="292"/>
    </row>
    <row r="100" spans="1:1">
      <c r="A100" s="322" t="s">
        <v>266</v>
      </c>
    </row>
  </sheetData>
  <sheetProtection algorithmName="SHA-512" hashValue="AxqgKJ7o/TEnH5uYaY2l6GyhdcRaO4oo2+jhYdzwrLkHxuv8EMKPncMcg+mbfFt4T1tzfek/B2RzSq7IeRorhg==" saltValue="o9s4BRytdkFIYky+SyFkHw==" spinCount="100000" sheet="1" objects="1" scenarios="1"/>
  <mergeCells count="4">
    <mergeCell ref="A1:C1"/>
    <mergeCell ref="A2:E2"/>
    <mergeCell ref="J2:M2"/>
    <mergeCell ref="A4:B4"/>
  </mergeCells>
  <pageMargins left="0.39370078740157483" right="0.43307086614173229" top="0.78740157480314965" bottom="0.78740157480314965" header="0.31496062992125984" footer="0.31496062992125984"/>
  <pageSetup paperSize="9" scale="75" orientation="portrait" r:id="rId1"/>
  <headerFooter>
    <oddFooter>&amp;L&amp;A&amp;RSeite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BM419"/>
  <sheetViews>
    <sheetView zoomScaleNormal="100" zoomScaleSheetLayoutView="55" zoomScalePageLayoutView="70" workbookViewId="0">
      <selection activeCell="K7" sqref="K7"/>
    </sheetView>
  </sheetViews>
  <sheetFormatPr baseColWidth="10" defaultColWidth="11.44140625" defaultRowHeight="14.4"/>
  <cols>
    <col min="1" max="1" width="4.33203125" style="242" customWidth="1"/>
    <col min="2" max="2" width="6.44140625" style="179" customWidth="1"/>
    <col min="3" max="3" width="48.6640625" style="178" customWidth="1"/>
    <col min="4" max="4" width="28.5546875" style="180" customWidth="1"/>
    <col min="5" max="5" width="28.5546875" style="178" customWidth="1"/>
    <col min="6" max="6" width="17.5546875" style="178" customWidth="1"/>
    <col min="7" max="7" width="18" style="180" customWidth="1"/>
    <col min="8" max="8" width="14.33203125" style="180" customWidth="1"/>
    <col min="9" max="9" width="14.33203125" style="178" customWidth="1"/>
    <col min="10" max="10" width="6.88671875" style="244" customWidth="1"/>
    <col min="11" max="64" width="11.44140625" style="244"/>
    <col min="65" max="16384" width="11.44140625" style="178"/>
  </cols>
  <sheetData>
    <row r="1" spans="1:65" s="244" customFormat="1" ht="35.25" customHeight="1">
      <c r="A1" s="239"/>
      <c r="B1" s="343" t="s">
        <v>200</v>
      </c>
      <c r="C1" s="343"/>
      <c r="D1" s="343"/>
      <c r="E1" s="343"/>
      <c r="F1" s="343"/>
      <c r="G1" s="243"/>
      <c r="H1" s="243"/>
      <c r="I1" s="241"/>
      <c r="J1" s="241"/>
    </row>
    <row r="2" spans="1:65" s="244" customFormat="1" ht="15.6">
      <c r="A2" s="239"/>
      <c r="B2" s="348" t="s">
        <v>203</v>
      </c>
      <c r="C2" s="348"/>
      <c r="D2" s="348"/>
      <c r="E2" s="348"/>
      <c r="F2" s="294"/>
      <c r="G2" s="249"/>
      <c r="H2" s="249"/>
      <c r="I2" s="241"/>
      <c r="J2" s="241"/>
    </row>
    <row r="3" spans="1:65" s="244" customFormat="1" ht="15.6">
      <c r="A3" s="239"/>
      <c r="B3" s="349"/>
      <c r="C3" s="349"/>
      <c r="D3" s="349"/>
      <c r="E3" s="349"/>
      <c r="F3" s="295"/>
      <c r="G3" s="249"/>
      <c r="H3" s="249"/>
      <c r="I3" s="241"/>
      <c r="J3" s="241"/>
    </row>
    <row r="4" spans="1:65" ht="37.5" customHeight="1">
      <c r="A4" s="240"/>
      <c r="B4" s="344" t="s">
        <v>140</v>
      </c>
      <c r="C4" s="345"/>
      <c r="D4" s="182" t="s">
        <v>26</v>
      </c>
      <c r="E4" s="182" t="s">
        <v>164</v>
      </c>
      <c r="F4" s="182" t="s">
        <v>268</v>
      </c>
      <c r="G4" s="182" t="s">
        <v>269</v>
      </c>
      <c r="H4" s="245"/>
      <c r="I4" s="245"/>
      <c r="J4" s="241"/>
      <c r="K4" s="241"/>
      <c r="BM4" s="244"/>
    </row>
    <row r="5" spans="1:65" ht="6.75" customHeight="1">
      <c r="A5" s="240"/>
      <c r="B5" s="183"/>
      <c r="C5" s="184"/>
      <c r="D5" s="181"/>
      <c r="E5" s="181"/>
      <c r="F5" s="185"/>
      <c r="G5" s="185"/>
      <c r="H5" s="245"/>
      <c r="I5" s="245"/>
      <c r="J5" s="241"/>
      <c r="K5" s="241"/>
      <c r="BM5" s="244"/>
    </row>
    <row r="6" spans="1:65" ht="19.5" customHeight="1">
      <c r="A6" s="241"/>
      <c r="B6" s="186">
        <v>1</v>
      </c>
      <c r="C6" s="187" t="s">
        <v>163</v>
      </c>
      <c r="D6" s="188"/>
      <c r="E6" s="188"/>
      <c r="F6" s="189"/>
      <c r="G6" s="189"/>
      <c r="H6" s="245"/>
      <c r="I6" s="245"/>
      <c r="J6" s="241"/>
      <c r="K6" s="241"/>
      <c r="BM6" s="244"/>
    </row>
    <row r="7" spans="1:65" ht="53.4" customHeight="1">
      <c r="A7" s="240"/>
      <c r="B7" s="190" t="s">
        <v>111</v>
      </c>
      <c r="C7" s="303" t="str">
        <f>IZDM!A1</f>
        <v>Raumbuch inkl. Kalkulation "Gebäude IZDM" Stand 10.04.2025</v>
      </c>
      <c r="D7" s="191" t="str">
        <f>CONCATENATE("Monatsfläche ",ROUND(IZDM!Z4,2)," m²")</f>
        <v>Monatsfläche 122075,38 m²</v>
      </c>
      <c r="E7" s="192" t="s">
        <v>162</v>
      </c>
      <c r="F7" s="193" t="e">
        <f>IZDM!AB4</f>
        <v>#DIV/0!</v>
      </c>
      <c r="G7" s="194" t="e">
        <f>F7*1.19</f>
        <v>#DIV/0!</v>
      </c>
      <c r="H7" s="245"/>
      <c r="I7" s="245"/>
      <c r="J7" s="241"/>
      <c r="K7" s="241"/>
      <c r="BM7" s="244"/>
    </row>
    <row r="8" spans="1:65" ht="38.25" customHeight="1">
      <c r="A8" s="239"/>
      <c r="B8" s="190" t="s">
        <v>109</v>
      </c>
      <c r="C8" s="336" t="s">
        <v>633</v>
      </c>
      <c r="D8" s="337">
        <f>0.5*'R_Häufigkeit_Faktoren UHR'!H5</f>
        <v>4.3452380952380958</v>
      </c>
      <c r="E8" s="192" t="s">
        <v>162</v>
      </c>
      <c r="F8" s="338">
        <v>0</v>
      </c>
      <c r="G8" s="194">
        <f>F8*1.19</f>
        <v>0</v>
      </c>
      <c r="H8" s="245"/>
      <c r="I8" s="245"/>
      <c r="J8" s="241"/>
      <c r="K8" s="241"/>
      <c r="BM8" s="244"/>
    </row>
    <row r="9" spans="1:65" ht="31.5" customHeight="1">
      <c r="A9" s="241"/>
      <c r="B9" s="186">
        <v>2</v>
      </c>
      <c r="C9" s="196" t="s">
        <v>189</v>
      </c>
      <c r="D9" s="314"/>
      <c r="E9" s="188"/>
      <c r="F9" s="189"/>
      <c r="G9" s="189"/>
      <c r="H9" s="245"/>
      <c r="I9" s="241"/>
      <c r="J9" s="241"/>
      <c r="K9" s="241"/>
      <c r="BM9" s="244"/>
    </row>
    <row r="10" spans="1:65" ht="31.2">
      <c r="A10" s="241"/>
      <c r="B10" s="195" t="s">
        <v>97</v>
      </c>
      <c r="C10" s="196" t="s">
        <v>189</v>
      </c>
      <c r="D10" s="313">
        <v>2</v>
      </c>
      <c r="E10" s="286" t="s">
        <v>190</v>
      </c>
      <c r="F10" s="311">
        <v>0</v>
      </c>
      <c r="G10" s="312">
        <f>F10*1.19</f>
        <v>0</v>
      </c>
      <c r="H10" s="241"/>
      <c r="I10" s="241"/>
      <c r="J10" s="241"/>
      <c r="K10" s="241"/>
      <c r="BM10" s="244"/>
    </row>
    <row r="11" spans="1:65" ht="24.75" customHeight="1">
      <c r="A11" s="240"/>
      <c r="B11" s="310"/>
      <c r="C11" s="309" t="s">
        <v>196</v>
      </c>
      <c r="D11" s="346"/>
      <c r="E11" s="347"/>
      <c r="F11" s="197" t="e">
        <f>SUM(F7:F10)</f>
        <v>#DIV/0!</v>
      </c>
      <c r="G11" s="197" t="e">
        <f>SUM(G7:G10)</f>
        <v>#DIV/0!</v>
      </c>
      <c r="H11" s="241"/>
      <c r="I11" s="241"/>
      <c r="J11" s="241"/>
      <c r="K11" s="241"/>
      <c r="BM11" s="244"/>
    </row>
    <row r="12" spans="1:65" ht="27" customHeight="1">
      <c r="A12" s="240"/>
      <c r="B12" s="304"/>
      <c r="C12" s="293" t="s">
        <v>202</v>
      </c>
      <c r="D12" s="350"/>
      <c r="E12" s="351"/>
      <c r="F12" s="305" t="e">
        <f>F11*12</f>
        <v>#DIV/0!</v>
      </c>
      <c r="G12" s="305" t="e">
        <f>G11*12</f>
        <v>#DIV/0!</v>
      </c>
      <c r="H12" s="241"/>
      <c r="I12" s="241"/>
      <c r="J12" s="241"/>
      <c r="K12" s="241"/>
      <c r="BM12" s="244"/>
    </row>
    <row r="13" spans="1:65" ht="27" customHeight="1">
      <c r="A13" s="240"/>
      <c r="B13" s="306"/>
      <c r="C13" s="307" t="s">
        <v>209</v>
      </c>
      <c r="D13" s="359"/>
      <c r="E13" s="360"/>
      <c r="F13" s="330" t="e">
        <f>F12*5</f>
        <v>#DIV/0!</v>
      </c>
      <c r="G13" s="330" t="e">
        <f>G12*5</f>
        <v>#DIV/0!</v>
      </c>
      <c r="H13" s="241"/>
      <c r="I13" s="241"/>
      <c r="J13" s="241"/>
      <c r="K13" s="241"/>
      <c r="BM13" s="244"/>
    </row>
    <row r="14" spans="1:65" ht="10.5" customHeight="1">
      <c r="A14" s="240"/>
      <c r="B14" s="251"/>
      <c r="C14" s="258"/>
      <c r="D14" s="361"/>
      <c r="E14" s="362"/>
      <c r="F14" s="246"/>
      <c r="G14" s="246"/>
      <c r="H14" s="246"/>
      <c r="I14" s="241"/>
      <c r="J14" s="241"/>
    </row>
    <row r="15" spans="1:65" ht="15.6">
      <c r="A15" s="240"/>
      <c r="B15" s="308" t="s">
        <v>201</v>
      </c>
      <c r="C15" s="308"/>
      <c r="D15" s="259"/>
      <c r="E15" s="259"/>
      <c r="F15" s="259"/>
      <c r="G15" s="247"/>
      <c r="H15" s="247"/>
      <c r="I15" s="241"/>
      <c r="J15" s="241"/>
    </row>
    <row r="16" spans="1:65" s="244" customFormat="1" ht="15.6">
      <c r="A16" s="239"/>
      <c r="B16" s="253"/>
      <c r="C16" s="239"/>
      <c r="D16" s="239"/>
      <c r="E16" s="239"/>
      <c r="F16" s="239"/>
      <c r="G16" s="239"/>
      <c r="H16" s="239"/>
      <c r="I16" s="239"/>
      <c r="J16" s="241"/>
    </row>
    <row r="17" spans="1:65" ht="15.6">
      <c r="A17" s="240"/>
      <c r="B17" s="251"/>
      <c r="C17" s="255"/>
      <c r="D17" s="259"/>
      <c r="E17" s="259"/>
      <c r="F17" s="259"/>
      <c r="G17" s="247"/>
      <c r="H17" s="247"/>
      <c r="I17" s="241"/>
      <c r="J17" s="241"/>
    </row>
    <row r="18" spans="1:65" ht="19.5" customHeight="1">
      <c r="A18" s="240"/>
      <c r="B18" s="355" t="s">
        <v>167</v>
      </c>
      <c r="C18" s="355"/>
      <c r="D18" s="355"/>
      <c r="E18" s="355"/>
      <c r="F18" s="357" t="s">
        <v>26</v>
      </c>
      <c r="G18" s="358"/>
      <c r="H18" s="241"/>
      <c r="I18" s="241"/>
      <c r="J18" s="241"/>
    </row>
    <row r="19" spans="1:65" ht="19.5" customHeight="1">
      <c r="A19" s="240"/>
      <c r="B19" s="356"/>
      <c r="C19" s="356"/>
      <c r="D19" s="356"/>
      <c r="E19" s="356"/>
      <c r="F19" s="198" t="s">
        <v>166</v>
      </c>
      <c r="G19" s="199" t="s">
        <v>165</v>
      </c>
      <c r="H19" s="241"/>
      <c r="I19" s="241"/>
      <c r="J19" s="241"/>
    </row>
    <row r="20" spans="1:65" ht="27.75" customHeight="1">
      <c r="A20" s="240"/>
      <c r="B20" s="296">
        <v>3</v>
      </c>
      <c r="C20" s="200" t="s">
        <v>191</v>
      </c>
      <c r="D20" s="201"/>
      <c r="E20" s="297"/>
      <c r="F20" s="299">
        <v>0</v>
      </c>
      <c r="G20" s="300">
        <f>F20*1.19</f>
        <v>0</v>
      </c>
      <c r="H20" s="241"/>
      <c r="I20" s="241"/>
      <c r="J20" s="241"/>
      <c r="K20" s="241"/>
      <c r="BM20" s="244"/>
    </row>
    <row r="21" spans="1:65" s="250" customFormat="1" ht="10.5" customHeight="1">
      <c r="A21" s="240"/>
      <c r="B21" s="251"/>
      <c r="C21" s="252"/>
      <c r="D21" s="252"/>
      <c r="E21" s="252"/>
      <c r="F21" s="298"/>
      <c r="G21" s="241"/>
      <c r="H21" s="241"/>
      <c r="I21" s="248"/>
      <c r="J21" s="248"/>
    </row>
    <row r="22" spans="1:65" s="244" customFormat="1" ht="15.6">
      <c r="A22" s="239"/>
      <c r="B22" s="253"/>
      <c r="D22" s="249"/>
      <c r="E22" s="254"/>
      <c r="F22" s="249"/>
      <c r="G22" s="241"/>
      <c r="H22" s="241"/>
      <c r="I22" s="241"/>
      <c r="J22" s="241"/>
    </row>
    <row r="23" spans="1:65" s="244" customFormat="1">
      <c r="A23" s="242"/>
      <c r="B23" s="256"/>
      <c r="D23" s="257"/>
      <c r="G23" s="257"/>
      <c r="H23" s="257"/>
    </row>
    <row r="24" spans="1:65" s="244" customFormat="1">
      <c r="A24" s="242"/>
      <c r="B24" s="256"/>
      <c r="C24" s="352">
        <f>Deckblatt!$B$20</f>
        <v>0</v>
      </c>
      <c r="D24" s="354"/>
      <c r="E24" s="234"/>
      <c r="G24" s="257"/>
      <c r="H24" s="257"/>
    </row>
    <row r="25" spans="1:65" s="244" customFormat="1" ht="15" thickBot="1">
      <c r="A25" s="242"/>
      <c r="B25" s="256"/>
      <c r="C25" s="353"/>
      <c r="D25" s="354"/>
      <c r="E25" s="234"/>
      <c r="G25" s="257"/>
      <c r="H25" s="257"/>
    </row>
    <row r="26" spans="1:65" s="244" customFormat="1">
      <c r="A26" s="242"/>
      <c r="B26" s="256"/>
      <c r="C26" s="233" t="s">
        <v>188</v>
      </c>
      <c r="D26" s="233"/>
      <c r="E26" s="234"/>
      <c r="G26" s="257"/>
      <c r="H26" s="257"/>
    </row>
    <row r="27" spans="1:65" s="244" customFormat="1">
      <c r="A27" s="242"/>
      <c r="B27" s="256"/>
      <c r="C27" s="234"/>
      <c r="D27" s="234"/>
      <c r="E27" s="234"/>
      <c r="G27" s="257"/>
      <c r="H27" s="257"/>
    </row>
    <row r="28" spans="1:65" s="244" customFormat="1">
      <c r="A28" s="242"/>
      <c r="B28" s="256"/>
      <c r="D28" s="257"/>
      <c r="G28" s="257"/>
      <c r="H28" s="257"/>
    </row>
    <row r="29" spans="1:65" s="244" customFormat="1">
      <c r="A29" s="242"/>
      <c r="B29" s="256"/>
      <c r="D29" s="257"/>
      <c r="G29" s="257"/>
      <c r="H29" s="257"/>
    </row>
    <row r="30" spans="1:65" s="244" customFormat="1">
      <c r="A30" s="242"/>
      <c r="B30" s="256"/>
      <c r="D30" s="257"/>
      <c r="G30" s="257"/>
      <c r="H30" s="257"/>
    </row>
    <row r="31" spans="1:65" s="244" customFormat="1">
      <c r="A31" s="242"/>
      <c r="B31" s="256"/>
      <c r="D31" s="257"/>
      <c r="G31" s="257"/>
      <c r="H31" s="257"/>
    </row>
    <row r="32" spans="1:65" s="244" customFormat="1">
      <c r="A32" s="242"/>
      <c r="B32" s="256"/>
      <c r="D32" s="257"/>
      <c r="G32" s="257"/>
      <c r="H32" s="257"/>
    </row>
    <row r="33" spans="1:8" s="244" customFormat="1">
      <c r="A33" s="242"/>
      <c r="B33" s="256"/>
      <c r="D33" s="257"/>
      <c r="G33" s="257"/>
      <c r="H33" s="257"/>
    </row>
    <row r="34" spans="1:8" s="244" customFormat="1">
      <c r="A34" s="242"/>
      <c r="B34" s="256"/>
      <c r="D34" s="257"/>
      <c r="G34" s="257"/>
      <c r="H34" s="257"/>
    </row>
    <row r="35" spans="1:8" s="244" customFormat="1">
      <c r="A35" s="242"/>
      <c r="B35" s="256"/>
      <c r="D35" s="257"/>
      <c r="G35" s="257"/>
      <c r="H35" s="257"/>
    </row>
    <row r="36" spans="1:8" s="244" customFormat="1">
      <c r="A36" s="242"/>
      <c r="B36" s="256"/>
      <c r="D36" s="257"/>
      <c r="G36" s="257"/>
      <c r="H36" s="257"/>
    </row>
    <row r="37" spans="1:8" s="244" customFormat="1">
      <c r="A37" s="242"/>
      <c r="B37" s="256"/>
      <c r="D37" s="257"/>
      <c r="G37" s="257"/>
      <c r="H37" s="257"/>
    </row>
    <row r="38" spans="1:8" s="244" customFormat="1">
      <c r="A38" s="242"/>
      <c r="B38" s="256"/>
      <c r="D38" s="257"/>
      <c r="G38" s="257"/>
      <c r="H38" s="257"/>
    </row>
    <row r="39" spans="1:8" s="244" customFormat="1">
      <c r="A39" s="242"/>
      <c r="B39" s="256"/>
      <c r="D39" s="257"/>
      <c r="G39" s="257"/>
      <c r="H39" s="257"/>
    </row>
    <row r="40" spans="1:8" s="244" customFormat="1">
      <c r="A40" s="242"/>
      <c r="B40" s="256"/>
      <c r="D40" s="257"/>
      <c r="G40" s="257"/>
      <c r="H40" s="257"/>
    </row>
    <row r="41" spans="1:8" s="244" customFormat="1">
      <c r="A41" s="242"/>
      <c r="B41" s="256"/>
      <c r="D41" s="257"/>
      <c r="G41" s="257"/>
      <c r="H41" s="257"/>
    </row>
    <row r="42" spans="1:8" s="244" customFormat="1">
      <c r="A42" s="242"/>
      <c r="B42" s="256"/>
      <c r="D42" s="257"/>
      <c r="G42" s="257"/>
      <c r="H42" s="257"/>
    </row>
    <row r="43" spans="1:8" s="244" customFormat="1">
      <c r="A43" s="242"/>
      <c r="B43" s="256"/>
      <c r="D43" s="257"/>
      <c r="G43" s="257"/>
      <c r="H43" s="257"/>
    </row>
    <row r="44" spans="1:8" s="244" customFormat="1">
      <c r="A44" s="242"/>
      <c r="B44" s="256"/>
      <c r="D44" s="257"/>
      <c r="G44" s="257"/>
      <c r="H44" s="257"/>
    </row>
    <row r="45" spans="1:8" s="244" customFormat="1">
      <c r="A45" s="242"/>
      <c r="B45" s="256"/>
      <c r="D45" s="257"/>
      <c r="G45" s="257"/>
      <c r="H45" s="257"/>
    </row>
    <row r="46" spans="1:8" s="244" customFormat="1">
      <c r="A46" s="242"/>
      <c r="B46" s="256"/>
      <c r="D46" s="257"/>
      <c r="G46" s="257"/>
      <c r="H46" s="257"/>
    </row>
    <row r="47" spans="1:8" s="244" customFormat="1">
      <c r="A47" s="242"/>
      <c r="B47" s="256"/>
      <c r="D47" s="257"/>
      <c r="G47" s="257"/>
      <c r="H47" s="257"/>
    </row>
    <row r="48" spans="1:8" s="244" customFormat="1">
      <c r="A48" s="242"/>
      <c r="B48" s="256"/>
      <c r="D48" s="257"/>
      <c r="G48" s="257"/>
      <c r="H48" s="257"/>
    </row>
    <row r="49" spans="1:8" s="244" customFormat="1">
      <c r="A49" s="242"/>
      <c r="B49" s="256"/>
      <c r="D49" s="257"/>
      <c r="G49" s="257"/>
      <c r="H49" s="257"/>
    </row>
    <row r="50" spans="1:8" s="244" customFormat="1">
      <c r="A50" s="242"/>
      <c r="B50" s="256"/>
      <c r="D50" s="257"/>
      <c r="G50" s="257"/>
      <c r="H50" s="257"/>
    </row>
    <row r="51" spans="1:8" s="244" customFormat="1">
      <c r="A51" s="242"/>
      <c r="B51" s="256"/>
      <c r="D51" s="257"/>
      <c r="G51" s="257"/>
      <c r="H51" s="257"/>
    </row>
    <row r="52" spans="1:8" s="244" customFormat="1">
      <c r="A52" s="242"/>
      <c r="B52" s="256"/>
      <c r="D52" s="257"/>
      <c r="G52" s="257"/>
      <c r="H52" s="257"/>
    </row>
    <row r="53" spans="1:8" s="244" customFormat="1">
      <c r="A53" s="242"/>
      <c r="B53" s="256"/>
      <c r="D53" s="257"/>
      <c r="G53" s="257"/>
      <c r="H53" s="257"/>
    </row>
    <row r="54" spans="1:8" s="244" customFormat="1">
      <c r="A54" s="242"/>
      <c r="B54" s="256"/>
      <c r="D54" s="257"/>
      <c r="G54" s="257"/>
      <c r="H54" s="257"/>
    </row>
    <row r="55" spans="1:8" s="244" customFormat="1">
      <c r="A55" s="242"/>
      <c r="B55" s="256"/>
      <c r="D55" s="257"/>
      <c r="G55" s="257"/>
      <c r="H55" s="257"/>
    </row>
    <row r="56" spans="1:8" s="244" customFormat="1">
      <c r="A56" s="242"/>
      <c r="B56" s="256"/>
      <c r="D56" s="257"/>
      <c r="G56" s="257"/>
      <c r="H56" s="257"/>
    </row>
    <row r="57" spans="1:8" s="244" customFormat="1">
      <c r="A57" s="242"/>
      <c r="B57" s="256"/>
      <c r="D57" s="257"/>
      <c r="G57" s="257"/>
      <c r="H57" s="257"/>
    </row>
    <row r="58" spans="1:8" s="244" customFormat="1">
      <c r="A58" s="242"/>
      <c r="B58" s="256"/>
      <c r="D58" s="257"/>
      <c r="G58" s="257"/>
      <c r="H58" s="257"/>
    </row>
    <row r="59" spans="1:8" s="244" customFormat="1">
      <c r="A59" s="242"/>
      <c r="B59" s="256"/>
      <c r="D59" s="257"/>
      <c r="G59" s="257"/>
      <c r="H59" s="257"/>
    </row>
    <row r="60" spans="1:8" s="244" customFormat="1">
      <c r="A60" s="242"/>
      <c r="B60" s="256"/>
      <c r="D60" s="257"/>
      <c r="G60" s="257"/>
      <c r="H60" s="257"/>
    </row>
    <row r="61" spans="1:8" s="244" customFormat="1">
      <c r="A61" s="242"/>
      <c r="B61" s="256"/>
      <c r="D61" s="257"/>
      <c r="G61" s="257"/>
      <c r="H61" s="257"/>
    </row>
    <row r="62" spans="1:8" s="244" customFormat="1">
      <c r="A62" s="242"/>
      <c r="B62" s="256"/>
      <c r="D62" s="257"/>
      <c r="G62" s="257"/>
      <c r="H62" s="257"/>
    </row>
    <row r="63" spans="1:8" s="244" customFormat="1">
      <c r="A63" s="242"/>
      <c r="B63" s="256"/>
      <c r="D63" s="257"/>
      <c r="G63" s="257"/>
      <c r="H63" s="257"/>
    </row>
    <row r="64" spans="1:8" s="244" customFormat="1">
      <c r="A64" s="242"/>
      <c r="B64" s="256"/>
      <c r="D64" s="257"/>
      <c r="G64" s="257"/>
      <c r="H64" s="257"/>
    </row>
    <row r="65" spans="1:8" s="244" customFormat="1">
      <c r="A65" s="242"/>
      <c r="B65" s="256"/>
      <c r="D65" s="257"/>
      <c r="G65" s="257"/>
      <c r="H65" s="257"/>
    </row>
    <row r="66" spans="1:8" s="244" customFormat="1">
      <c r="A66" s="242"/>
      <c r="B66" s="256"/>
      <c r="D66" s="257"/>
      <c r="G66" s="257"/>
      <c r="H66" s="257"/>
    </row>
    <row r="67" spans="1:8" s="244" customFormat="1">
      <c r="A67" s="242"/>
      <c r="B67" s="256"/>
      <c r="D67" s="257"/>
      <c r="G67" s="257"/>
      <c r="H67" s="257"/>
    </row>
    <row r="68" spans="1:8" s="244" customFormat="1">
      <c r="A68" s="242"/>
      <c r="B68" s="256"/>
      <c r="D68" s="257"/>
      <c r="G68" s="257"/>
      <c r="H68" s="257"/>
    </row>
    <row r="69" spans="1:8" s="244" customFormat="1">
      <c r="A69" s="242"/>
      <c r="B69" s="256"/>
      <c r="D69" s="257"/>
      <c r="G69" s="257"/>
      <c r="H69" s="257"/>
    </row>
    <row r="70" spans="1:8" s="244" customFormat="1">
      <c r="A70" s="242"/>
      <c r="B70" s="256"/>
      <c r="D70" s="257"/>
      <c r="G70" s="257"/>
      <c r="H70" s="257"/>
    </row>
    <row r="71" spans="1:8" s="244" customFormat="1">
      <c r="A71" s="242"/>
      <c r="B71" s="256"/>
      <c r="D71" s="257"/>
      <c r="G71" s="257"/>
      <c r="H71" s="257"/>
    </row>
    <row r="72" spans="1:8" s="244" customFormat="1">
      <c r="A72" s="242"/>
      <c r="B72" s="256"/>
      <c r="D72" s="257"/>
      <c r="G72" s="257"/>
      <c r="H72" s="257"/>
    </row>
    <row r="73" spans="1:8" s="244" customFormat="1">
      <c r="A73" s="242"/>
      <c r="B73" s="256"/>
      <c r="D73" s="257"/>
      <c r="G73" s="257"/>
      <c r="H73" s="257"/>
    </row>
    <row r="74" spans="1:8" s="244" customFormat="1">
      <c r="A74" s="242"/>
      <c r="B74" s="256"/>
      <c r="D74" s="257"/>
      <c r="G74" s="257"/>
      <c r="H74" s="257"/>
    </row>
    <row r="75" spans="1:8" s="244" customFormat="1">
      <c r="A75" s="242"/>
      <c r="B75" s="256"/>
      <c r="D75" s="257"/>
      <c r="G75" s="257"/>
      <c r="H75" s="257"/>
    </row>
    <row r="76" spans="1:8" s="244" customFormat="1">
      <c r="A76" s="242"/>
      <c r="B76" s="256"/>
      <c r="D76" s="257"/>
      <c r="G76" s="257"/>
      <c r="H76" s="257"/>
    </row>
    <row r="77" spans="1:8" s="244" customFormat="1">
      <c r="A77" s="242"/>
      <c r="B77" s="256"/>
      <c r="D77" s="257"/>
      <c r="G77" s="257"/>
      <c r="H77" s="257"/>
    </row>
    <row r="78" spans="1:8" s="244" customFormat="1">
      <c r="A78" s="242"/>
      <c r="B78" s="256"/>
      <c r="D78" s="257"/>
      <c r="G78" s="257"/>
      <c r="H78" s="257"/>
    </row>
    <row r="79" spans="1:8" s="244" customFormat="1">
      <c r="A79" s="242"/>
      <c r="B79" s="256"/>
      <c r="D79" s="257"/>
      <c r="G79" s="257"/>
      <c r="H79" s="257"/>
    </row>
    <row r="80" spans="1:8" s="244" customFormat="1">
      <c r="A80" s="242"/>
      <c r="B80" s="256"/>
      <c r="D80" s="257"/>
      <c r="G80" s="257"/>
      <c r="H80" s="257"/>
    </row>
    <row r="81" spans="1:8" s="244" customFormat="1">
      <c r="A81" s="242"/>
      <c r="B81" s="256"/>
      <c r="D81" s="257"/>
      <c r="G81" s="257"/>
      <c r="H81" s="257"/>
    </row>
    <row r="82" spans="1:8" s="244" customFormat="1">
      <c r="A82" s="242"/>
      <c r="B82" s="256"/>
      <c r="D82" s="257"/>
      <c r="G82" s="257"/>
      <c r="H82" s="257"/>
    </row>
    <row r="83" spans="1:8" s="244" customFormat="1">
      <c r="A83" s="242"/>
      <c r="B83" s="256"/>
      <c r="D83" s="257"/>
      <c r="G83" s="257"/>
      <c r="H83" s="257"/>
    </row>
    <row r="84" spans="1:8" s="244" customFormat="1">
      <c r="A84" s="242"/>
      <c r="B84" s="256"/>
      <c r="D84" s="257"/>
      <c r="G84" s="257"/>
      <c r="H84" s="257"/>
    </row>
    <row r="85" spans="1:8" s="244" customFormat="1">
      <c r="A85" s="242"/>
      <c r="B85" s="256"/>
      <c r="D85" s="257"/>
      <c r="G85" s="257"/>
      <c r="H85" s="257"/>
    </row>
    <row r="86" spans="1:8" s="244" customFormat="1">
      <c r="A86" s="242"/>
      <c r="B86" s="256"/>
      <c r="D86" s="257"/>
      <c r="G86" s="257"/>
      <c r="H86" s="257"/>
    </row>
    <row r="87" spans="1:8" s="244" customFormat="1">
      <c r="A87" s="242"/>
      <c r="B87" s="256"/>
      <c r="D87" s="257"/>
      <c r="G87" s="257"/>
      <c r="H87" s="257"/>
    </row>
    <row r="88" spans="1:8" s="244" customFormat="1">
      <c r="A88" s="242"/>
      <c r="B88" s="256"/>
      <c r="D88" s="257"/>
      <c r="G88" s="257"/>
      <c r="H88" s="257"/>
    </row>
    <row r="89" spans="1:8" s="244" customFormat="1">
      <c r="A89" s="242"/>
      <c r="B89" s="256"/>
      <c r="D89" s="257"/>
      <c r="G89" s="257"/>
      <c r="H89" s="257"/>
    </row>
    <row r="90" spans="1:8" s="244" customFormat="1">
      <c r="A90" s="242"/>
      <c r="B90" s="256"/>
      <c r="D90" s="257"/>
      <c r="G90" s="257"/>
      <c r="H90" s="257"/>
    </row>
    <row r="91" spans="1:8" s="244" customFormat="1">
      <c r="A91" s="242"/>
      <c r="B91" s="256"/>
      <c r="D91" s="257"/>
      <c r="G91" s="257"/>
      <c r="H91" s="257"/>
    </row>
    <row r="92" spans="1:8" s="244" customFormat="1">
      <c r="A92" s="242"/>
      <c r="B92" s="256"/>
      <c r="D92" s="257"/>
      <c r="G92" s="257"/>
      <c r="H92" s="257"/>
    </row>
    <row r="93" spans="1:8" s="244" customFormat="1">
      <c r="A93" s="242"/>
      <c r="B93" s="256"/>
      <c r="D93" s="257"/>
      <c r="G93" s="257"/>
      <c r="H93" s="257"/>
    </row>
    <row r="94" spans="1:8" s="244" customFormat="1">
      <c r="A94" s="242"/>
      <c r="B94" s="256"/>
      <c r="D94" s="257"/>
      <c r="G94" s="257"/>
      <c r="H94" s="257"/>
    </row>
    <row r="95" spans="1:8" s="244" customFormat="1">
      <c r="A95" s="242"/>
      <c r="B95" s="256"/>
      <c r="D95" s="257"/>
      <c r="G95" s="257"/>
      <c r="H95" s="257"/>
    </row>
    <row r="96" spans="1:8" s="244" customFormat="1">
      <c r="A96" s="242"/>
      <c r="B96" s="256"/>
      <c r="D96" s="257"/>
      <c r="G96" s="257"/>
      <c r="H96" s="257"/>
    </row>
    <row r="97" spans="1:8" s="244" customFormat="1">
      <c r="A97" s="242"/>
      <c r="B97" s="256"/>
      <c r="D97" s="257"/>
      <c r="G97" s="257"/>
      <c r="H97" s="257"/>
    </row>
    <row r="98" spans="1:8" s="244" customFormat="1">
      <c r="A98" s="242"/>
      <c r="B98" s="256"/>
      <c r="D98" s="257"/>
      <c r="G98" s="257"/>
      <c r="H98" s="257"/>
    </row>
    <row r="99" spans="1:8" s="244" customFormat="1">
      <c r="A99" s="242"/>
      <c r="B99" s="256"/>
      <c r="D99" s="257"/>
      <c r="G99" s="257"/>
      <c r="H99" s="257"/>
    </row>
    <row r="100" spans="1:8" s="244" customFormat="1">
      <c r="A100" s="242"/>
      <c r="B100" s="256"/>
      <c r="D100" s="257"/>
      <c r="G100" s="257"/>
      <c r="H100" s="257"/>
    </row>
    <row r="101" spans="1:8" s="244" customFormat="1">
      <c r="A101" s="242"/>
      <c r="B101" s="256"/>
      <c r="D101" s="257"/>
      <c r="G101" s="257"/>
      <c r="H101" s="257"/>
    </row>
    <row r="102" spans="1:8" s="244" customFormat="1">
      <c r="A102" s="242"/>
      <c r="B102" s="256"/>
      <c r="D102" s="257"/>
      <c r="G102" s="257"/>
      <c r="H102" s="257"/>
    </row>
    <row r="103" spans="1:8" s="244" customFormat="1">
      <c r="A103" s="242"/>
      <c r="B103" s="256"/>
      <c r="D103" s="257"/>
      <c r="G103" s="257"/>
      <c r="H103" s="257"/>
    </row>
    <row r="104" spans="1:8" s="244" customFormat="1">
      <c r="A104" s="242"/>
      <c r="B104" s="256"/>
      <c r="D104" s="257"/>
      <c r="G104" s="257"/>
      <c r="H104" s="257"/>
    </row>
    <row r="105" spans="1:8" s="244" customFormat="1">
      <c r="A105" s="242"/>
      <c r="B105" s="256"/>
      <c r="D105" s="257"/>
      <c r="G105" s="257"/>
      <c r="H105" s="257"/>
    </row>
    <row r="106" spans="1:8" s="244" customFormat="1">
      <c r="A106" s="242"/>
      <c r="B106" s="256"/>
      <c r="D106" s="257"/>
      <c r="G106" s="257"/>
      <c r="H106" s="257"/>
    </row>
    <row r="107" spans="1:8" s="244" customFormat="1">
      <c r="A107" s="242"/>
      <c r="B107" s="256"/>
      <c r="D107" s="257"/>
      <c r="G107" s="257"/>
      <c r="H107" s="257"/>
    </row>
    <row r="108" spans="1:8" s="244" customFormat="1">
      <c r="A108" s="242"/>
      <c r="B108" s="256"/>
      <c r="D108" s="257"/>
      <c r="G108" s="257"/>
      <c r="H108" s="257"/>
    </row>
    <row r="109" spans="1:8" s="244" customFormat="1">
      <c r="A109" s="242"/>
      <c r="B109" s="256"/>
      <c r="D109" s="257"/>
      <c r="G109" s="257"/>
      <c r="H109" s="257"/>
    </row>
    <row r="110" spans="1:8" s="244" customFormat="1">
      <c r="A110" s="242"/>
      <c r="B110" s="256"/>
      <c r="D110" s="257"/>
      <c r="G110" s="257"/>
      <c r="H110" s="257"/>
    </row>
    <row r="111" spans="1:8" s="244" customFormat="1">
      <c r="A111" s="242"/>
      <c r="B111" s="256"/>
      <c r="D111" s="257"/>
      <c r="G111" s="257"/>
      <c r="H111" s="257"/>
    </row>
    <row r="112" spans="1:8" s="244" customFormat="1">
      <c r="A112" s="242"/>
      <c r="B112" s="256"/>
      <c r="D112" s="257"/>
      <c r="G112" s="257"/>
      <c r="H112" s="257"/>
    </row>
    <row r="113" spans="1:8" s="244" customFormat="1">
      <c r="A113" s="242"/>
      <c r="B113" s="256"/>
      <c r="D113" s="257"/>
      <c r="G113" s="257"/>
      <c r="H113" s="257"/>
    </row>
    <row r="114" spans="1:8" s="244" customFormat="1">
      <c r="A114" s="242"/>
      <c r="B114" s="256"/>
      <c r="D114" s="257"/>
      <c r="G114" s="257"/>
      <c r="H114" s="257"/>
    </row>
    <row r="115" spans="1:8" s="244" customFormat="1">
      <c r="A115" s="242"/>
      <c r="B115" s="256"/>
      <c r="D115" s="257"/>
      <c r="G115" s="257"/>
      <c r="H115" s="257"/>
    </row>
    <row r="116" spans="1:8" s="244" customFormat="1">
      <c r="A116" s="242"/>
      <c r="B116" s="256"/>
      <c r="D116" s="257"/>
      <c r="G116" s="257"/>
      <c r="H116" s="257"/>
    </row>
    <row r="117" spans="1:8" s="244" customFormat="1">
      <c r="A117" s="242"/>
      <c r="B117" s="256"/>
      <c r="D117" s="257"/>
      <c r="G117" s="257"/>
      <c r="H117" s="257"/>
    </row>
    <row r="118" spans="1:8" s="244" customFormat="1">
      <c r="A118" s="242"/>
      <c r="B118" s="256"/>
      <c r="D118" s="257"/>
      <c r="G118" s="257"/>
      <c r="H118" s="257"/>
    </row>
    <row r="119" spans="1:8" s="244" customFormat="1">
      <c r="A119" s="242"/>
      <c r="B119" s="256"/>
      <c r="D119" s="257"/>
      <c r="G119" s="257"/>
      <c r="H119" s="257"/>
    </row>
    <row r="120" spans="1:8" s="244" customFormat="1">
      <c r="A120" s="242"/>
      <c r="B120" s="256"/>
      <c r="D120" s="257"/>
      <c r="G120" s="257"/>
      <c r="H120" s="257"/>
    </row>
    <row r="121" spans="1:8" s="244" customFormat="1">
      <c r="A121" s="242"/>
      <c r="B121" s="256"/>
      <c r="D121" s="257"/>
      <c r="G121" s="257"/>
      <c r="H121" s="257"/>
    </row>
    <row r="122" spans="1:8" s="244" customFormat="1">
      <c r="A122" s="242"/>
      <c r="B122" s="256"/>
      <c r="D122" s="257"/>
      <c r="G122" s="257"/>
      <c r="H122" s="257"/>
    </row>
    <row r="123" spans="1:8" s="244" customFormat="1">
      <c r="A123" s="242"/>
      <c r="B123" s="256"/>
      <c r="D123" s="257"/>
      <c r="G123" s="257"/>
      <c r="H123" s="257"/>
    </row>
    <row r="124" spans="1:8" s="244" customFormat="1">
      <c r="A124" s="242"/>
      <c r="B124" s="256"/>
      <c r="D124" s="257"/>
      <c r="G124" s="257"/>
      <c r="H124" s="257"/>
    </row>
    <row r="125" spans="1:8" s="244" customFormat="1">
      <c r="A125" s="242"/>
      <c r="B125" s="256"/>
      <c r="D125" s="257"/>
      <c r="G125" s="257"/>
      <c r="H125" s="257"/>
    </row>
    <row r="126" spans="1:8" s="244" customFormat="1">
      <c r="A126" s="242"/>
      <c r="B126" s="256"/>
      <c r="D126" s="257"/>
      <c r="G126" s="257"/>
      <c r="H126" s="257"/>
    </row>
    <row r="127" spans="1:8" s="244" customFormat="1">
      <c r="A127" s="242"/>
      <c r="B127" s="256"/>
      <c r="D127" s="257"/>
      <c r="G127" s="257"/>
      <c r="H127" s="257"/>
    </row>
    <row r="128" spans="1:8" s="244" customFormat="1">
      <c r="A128" s="242"/>
      <c r="B128" s="256"/>
      <c r="D128" s="257"/>
      <c r="G128" s="257"/>
      <c r="H128" s="257"/>
    </row>
    <row r="129" spans="1:8" s="244" customFormat="1">
      <c r="A129" s="242"/>
      <c r="B129" s="256"/>
      <c r="D129" s="257"/>
      <c r="G129" s="257"/>
      <c r="H129" s="257"/>
    </row>
    <row r="130" spans="1:8" s="244" customFormat="1">
      <c r="A130" s="242"/>
      <c r="B130" s="256"/>
      <c r="D130" s="257"/>
      <c r="G130" s="257"/>
      <c r="H130" s="257"/>
    </row>
    <row r="131" spans="1:8" s="244" customFormat="1">
      <c r="A131" s="242"/>
      <c r="B131" s="256"/>
      <c r="D131" s="257"/>
      <c r="G131" s="257"/>
      <c r="H131" s="257"/>
    </row>
    <row r="132" spans="1:8" s="244" customFormat="1">
      <c r="A132" s="242"/>
      <c r="B132" s="256"/>
      <c r="D132" s="257"/>
      <c r="G132" s="257"/>
      <c r="H132" s="257"/>
    </row>
    <row r="133" spans="1:8" s="244" customFormat="1">
      <c r="A133" s="242"/>
      <c r="B133" s="256"/>
      <c r="D133" s="257"/>
      <c r="G133" s="257"/>
      <c r="H133" s="257"/>
    </row>
    <row r="134" spans="1:8" s="244" customFormat="1">
      <c r="A134" s="242"/>
      <c r="B134" s="256"/>
      <c r="D134" s="257"/>
      <c r="G134" s="257"/>
      <c r="H134" s="257"/>
    </row>
    <row r="135" spans="1:8" s="244" customFormat="1">
      <c r="A135" s="242"/>
      <c r="B135" s="256"/>
      <c r="D135" s="257"/>
      <c r="G135" s="257"/>
      <c r="H135" s="257"/>
    </row>
    <row r="136" spans="1:8" s="244" customFormat="1">
      <c r="A136" s="242"/>
      <c r="B136" s="256"/>
      <c r="D136" s="257"/>
      <c r="G136" s="257"/>
      <c r="H136" s="257"/>
    </row>
    <row r="137" spans="1:8" s="244" customFormat="1">
      <c r="A137" s="242"/>
      <c r="B137" s="256"/>
      <c r="D137" s="257"/>
      <c r="G137" s="257"/>
      <c r="H137" s="257"/>
    </row>
    <row r="138" spans="1:8" s="244" customFormat="1">
      <c r="A138" s="242"/>
      <c r="B138" s="256"/>
      <c r="D138" s="257"/>
      <c r="G138" s="257"/>
      <c r="H138" s="257"/>
    </row>
    <row r="139" spans="1:8" s="244" customFormat="1">
      <c r="A139" s="242"/>
      <c r="B139" s="256"/>
      <c r="D139" s="257"/>
      <c r="G139" s="257"/>
      <c r="H139" s="257"/>
    </row>
    <row r="140" spans="1:8" s="244" customFormat="1">
      <c r="A140" s="242"/>
      <c r="B140" s="256"/>
      <c r="D140" s="257"/>
      <c r="G140" s="257"/>
      <c r="H140" s="257"/>
    </row>
    <row r="141" spans="1:8" s="244" customFormat="1">
      <c r="A141" s="242"/>
      <c r="B141" s="256"/>
      <c r="D141" s="257"/>
      <c r="G141" s="257"/>
      <c r="H141" s="257"/>
    </row>
    <row r="142" spans="1:8" s="244" customFormat="1">
      <c r="A142" s="242"/>
      <c r="B142" s="256"/>
      <c r="D142" s="257"/>
      <c r="G142" s="257"/>
      <c r="H142" s="257"/>
    </row>
    <row r="143" spans="1:8" s="244" customFormat="1">
      <c r="A143" s="242"/>
      <c r="B143" s="256"/>
      <c r="D143" s="257"/>
      <c r="G143" s="257"/>
      <c r="H143" s="257"/>
    </row>
    <row r="144" spans="1:8" s="244" customFormat="1">
      <c r="A144" s="242"/>
      <c r="B144" s="256"/>
      <c r="D144" s="257"/>
      <c r="G144" s="257"/>
      <c r="H144" s="257"/>
    </row>
    <row r="145" spans="1:8" s="244" customFormat="1">
      <c r="A145" s="242"/>
      <c r="B145" s="256"/>
      <c r="D145" s="257"/>
      <c r="G145" s="257"/>
      <c r="H145" s="257"/>
    </row>
    <row r="146" spans="1:8" s="244" customFormat="1">
      <c r="A146" s="242"/>
      <c r="B146" s="256"/>
      <c r="D146" s="257"/>
      <c r="G146" s="257"/>
      <c r="H146" s="257"/>
    </row>
    <row r="147" spans="1:8" s="244" customFormat="1">
      <c r="A147" s="242"/>
      <c r="B147" s="256"/>
      <c r="D147" s="257"/>
      <c r="G147" s="257"/>
      <c r="H147" s="257"/>
    </row>
    <row r="148" spans="1:8" s="244" customFormat="1">
      <c r="A148" s="242"/>
      <c r="B148" s="256"/>
      <c r="D148" s="257"/>
      <c r="G148" s="257"/>
      <c r="H148" s="257"/>
    </row>
    <row r="149" spans="1:8" s="244" customFormat="1">
      <c r="A149" s="242"/>
      <c r="B149" s="256"/>
      <c r="D149" s="257"/>
      <c r="G149" s="257"/>
      <c r="H149" s="257"/>
    </row>
    <row r="150" spans="1:8" s="244" customFormat="1">
      <c r="A150" s="242"/>
      <c r="B150" s="256"/>
      <c r="D150" s="257"/>
      <c r="G150" s="257"/>
      <c r="H150" s="257"/>
    </row>
    <row r="151" spans="1:8" s="244" customFormat="1">
      <c r="A151" s="242"/>
      <c r="B151" s="256"/>
      <c r="D151" s="257"/>
      <c r="G151" s="257"/>
      <c r="H151" s="257"/>
    </row>
    <row r="152" spans="1:8" s="244" customFormat="1">
      <c r="A152" s="242"/>
      <c r="B152" s="256"/>
      <c r="D152" s="257"/>
      <c r="G152" s="257"/>
      <c r="H152" s="257"/>
    </row>
    <row r="153" spans="1:8" s="244" customFormat="1">
      <c r="A153" s="242"/>
      <c r="B153" s="256"/>
      <c r="D153" s="257"/>
      <c r="G153" s="257"/>
      <c r="H153" s="257"/>
    </row>
    <row r="154" spans="1:8" s="244" customFormat="1">
      <c r="A154" s="242"/>
      <c r="B154" s="256"/>
      <c r="D154" s="257"/>
      <c r="G154" s="257"/>
      <c r="H154" s="257"/>
    </row>
    <row r="155" spans="1:8" s="244" customFormat="1">
      <c r="A155" s="242"/>
      <c r="B155" s="256"/>
      <c r="D155" s="257"/>
      <c r="G155" s="257"/>
      <c r="H155" s="257"/>
    </row>
    <row r="156" spans="1:8" s="244" customFormat="1">
      <c r="A156" s="242"/>
      <c r="B156" s="256"/>
      <c r="D156" s="257"/>
      <c r="G156" s="257"/>
      <c r="H156" s="257"/>
    </row>
    <row r="157" spans="1:8" s="244" customFormat="1">
      <c r="A157" s="242"/>
      <c r="B157" s="256"/>
      <c r="D157" s="257"/>
      <c r="G157" s="257"/>
      <c r="H157" s="257"/>
    </row>
    <row r="158" spans="1:8" s="244" customFormat="1">
      <c r="A158" s="242"/>
      <c r="B158" s="256"/>
      <c r="D158" s="257"/>
      <c r="G158" s="257"/>
      <c r="H158" s="257"/>
    </row>
    <row r="159" spans="1:8" s="244" customFormat="1">
      <c r="A159" s="242"/>
      <c r="B159" s="256"/>
      <c r="D159" s="257"/>
      <c r="G159" s="257"/>
      <c r="H159" s="257"/>
    </row>
    <row r="160" spans="1:8" s="244" customFormat="1">
      <c r="A160" s="242"/>
      <c r="B160" s="256"/>
      <c r="D160" s="257"/>
      <c r="G160" s="257"/>
      <c r="H160" s="257"/>
    </row>
    <row r="161" spans="1:8" s="244" customFormat="1">
      <c r="A161" s="242"/>
      <c r="B161" s="256"/>
      <c r="D161" s="257"/>
      <c r="G161" s="257"/>
      <c r="H161" s="257"/>
    </row>
    <row r="162" spans="1:8" s="244" customFormat="1">
      <c r="A162" s="242"/>
      <c r="B162" s="256"/>
      <c r="D162" s="257"/>
      <c r="G162" s="257"/>
      <c r="H162" s="257"/>
    </row>
    <row r="163" spans="1:8" s="244" customFormat="1">
      <c r="A163" s="242"/>
      <c r="B163" s="256"/>
      <c r="D163" s="257"/>
      <c r="G163" s="257"/>
      <c r="H163" s="257"/>
    </row>
    <row r="164" spans="1:8" s="244" customFormat="1">
      <c r="A164" s="242"/>
      <c r="B164" s="256"/>
      <c r="D164" s="257"/>
      <c r="G164" s="257"/>
      <c r="H164" s="257"/>
    </row>
    <row r="165" spans="1:8" s="244" customFormat="1">
      <c r="A165" s="242"/>
      <c r="B165" s="256"/>
      <c r="D165" s="257"/>
      <c r="G165" s="257"/>
      <c r="H165" s="257"/>
    </row>
    <row r="166" spans="1:8" s="244" customFormat="1">
      <c r="A166" s="242"/>
      <c r="B166" s="256"/>
      <c r="D166" s="257"/>
      <c r="G166" s="257"/>
      <c r="H166" s="257"/>
    </row>
    <row r="167" spans="1:8" s="244" customFormat="1">
      <c r="A167" s="242"/>
      <c r="B167" s="256"/>
      <c r="D167" s="257"/>
      <c r="G167" s="257"/>
      <c r="H167" s="257"/>
    </row>
    <row r="168" spans="1:8" s="244" customFormat="1">
      <c r="A168" s="242"/>
      <c r="B168" s="256"/>
      <c r="D168" s="257"/>
      <c r="G168" s="257"/>
      <c r="H168" s="257"/>
    </row>
    <row r="169" spans="1:8" s="244" customFormat="1">
      <c r="A169" s="242"/>
      <c r="B169" s="256"/>
      <c r="D169" s="257"/>
      <c r="G169" s="257"/>
      <c r="H169" s="257"/>
    </row>
    <row r="170" spans="1:8" s="244" customFormat="1">
      <c r="A170" s="242"/>
      <c r="B170" s="256"/>
      <c r="D170" s="257"/>
      <c r="G170" s="257"/>
      <c r="H170" s="257"/>
    </row>
    <row r="171" spans="1:8" s="244" customFormat="1">
      <c r="A171" s="242"/>
      <c r="B171" s="256"/>
      <c r="D171" s="257"/>
      <c r="G171" s="257"/>
      <c r="H171" s="257"/>
    </row>
    <row r="172" spans="1:8" s="244" customFormat="1">
      <c r="A172" s="242"/>
      <c r="B172" s="256"/>
      <c r="D172" s="257"/>
      <c r="G172" s="257"/>
      <c r="H172" s="257"/>
    </row>
    <row r="173" spans="1:8" s="244" customFormat="1">
      <c r="A173" s="242"/>
      <c r="B173" s="256"/>
      <c r="D173" s="257"/>
      <c r="G173" s="257"/>
      <c r="H173" s="257"/>
    </row>
    <row r="174" spans="1:8" s="244" customFormat="1">
      <c r="A174" s="242"/>
      <c r="B174" s="256"/>
      <c r="D174" s="257"/>
      <c r="G174" s="257"/>
      <c r="H174" s="257"/>
    </row>
    <row r="175" spans="1:8" s="244" customFormat="1">
      <c r="A175" s="242"/>
      <c r="B175" s="256"/>
      <c r="D175" s="257"/>
      <c r="G175" s="257"/>
      <c r="H175" s="257"/>
    </row>
    <row r="176" spans="1:8" s="244" customFormat="1">
      <c r="A176" s="242"/>
      <c r="B176" s="256"/>
      <c r="D176" s="257"/>
      <c r="G176" s="257"/>
      <c r="H176" s="257"/>
    </row>
    <row r="177" spans="1:8" s="244" customFormat="1">
      <c r="A177" s="242"/>
      <c r="B177" s="256"/>
      <c r="D177" s="257"/>
      <c r="G177" s="257"/>
      <c r="H177" s="257"/>
    </row>
    <row r="178" spans="1:8" s="244" customFormat="1">
      <c r="A178" s="242"/>
      <c r="B178" s="256"/>
      <c r="D178" s="257"/>
      <c r="G178" s="257"/>
      <c r="H178" s="257"/>
    </row>
    <row r="179" spans="1:8" s="244" customFormat="1">
      <c r="A179" s="242"/>
      <c r="B179" s="256"/>
      <c r="D179" s="257"/>
      <c r="G179" s="257"/>
      <c r="H179" s="257"/>
    </row>
    <row r="180" spans="1:8" s="244" customFormat="1">
      <c r="A180" s="242"/>
      <c r="B180" s="256"/>
      <c r="D180" s="257"/>
      <c r="G180" s="257"/>
      <c r="H180" s="257"/>
    </row>
    <row r="181" spans="1:8" s="244" customFormat="1">
      <c r="A181" s="242"/>
      <c r="B181" s="256"/>
      <c r="D181" s="257"/>
      <c r="G181" s="257"/>
      <c r="H181" s="257"/>
    </row>
    <row r="182" spans="1:8" s="244" customFormat="1">
      <c r="A182" s="242"/>
      <c r="B182" s="256"/>
      <c r="D182" s="257"/>
      <c r="G182" s="257"/>
      <c r="H182" s="257"/>
    </row>
    <row r="183" spans="1:8" s="244" customFormat="1">
      <c r="A183" s="242"/>
      <c r="B183" s="256"/>
      <c r="D183" s="257"/>
      <c r="G183" s="257"/>
      <c r="H183" s="257"/>
    </row>
    <row r="184" spans="1:8" s="244" customFormat="1">
      <c r="A184" s="242"/>
      <c r="B184" s="256"/>
      <c r="D184" s="257"/>
      <c r="G184" s="257"/>
      <c r="H184" s="257"/>
    </row>
    <row r="185" spans="1:8" s="244" customFormat="1">
      <c r="A185" s="242"/>
      <c r="B185" s="256"/>
      <c r="D185" s="257"/>
      <c r="G185" s="257"/>
      <c r="H185" s="257"/>
    </row>
    <row r="186" spans="1:8" s="244" customFormat="1">
      <c r="A186" s="242"/>
      <c r="B186" s="256"/>
      <c r="D186" s="257"/>
      <c r="G186" s="257"/>
      <c r="H186" s="257"/>
    </row>
    <row r="187" spans="1:8" s="244" customFormat="1">
      <c r="A187" s="242"/>
      <c r="B187" s="256"/>
      <c r="D187" s="257"/>
      <c r="G187" s="257"/>
      <c r="H187" s="257"/>
    </row>
    <row r="188" spans="1:8" s="244" customFormat="1">
      <c r="A188" s="242"/>
      <c r="B188" s="256"/>
      <c r="D188" s="257"/>
      <c r="G188" s="257"/>
      <c r="H188" s="257"/>
    </row>
    <row r="189" spans="1:8" s="244" customFormat="1">
      <c r="A189" s="242"/>
      <c r="B189" s="256"/>
      <c r="D189" s="257"/>
      <c r="G189" s="257"/>
      <c r="H189" s="257"/>
    </row>
    <row r="190" spans="1:8" s="244" customFormat="1">
      <c r="A190" s="242"/>
      <c r="B190" s="256"/>
      <c r="D190" s="257"/>
      <c r="G190" s="257"/>
      <c r="H190" s="257"/>
    </row>
    <row r="191" spans="1:8" s="244" customFormat="1">
      <c r="A191" s="242"/>
      <c r="B191" s="256"/>
      <c r="D191" s="257"/>
      <c r="G191" s="257"/>
      <c r="H191" s="257"/>
    </row>
    <row r="192" spans="1:8" s="244" customFormat="1">
      <c r="A192" s="242"/>
      <c r="B192" s="256"/>
      <c r="D192" s="257"/>
      <c r="G192" s="257"/>
      <c r="H192" s="257"/>
    </row>
    <row r="193" spans="1:8" s="244" customFormat="1">
      <c r="A193" s="242"/>
      <c r="B193" s="256"/>
      <c r="D193" s="257"/>
      <c r="G193" s="257"/>
      <c r="H193" s="257"/>
    </row>
    <row r="194" spans="1:8" s="244" customFormat="1">
      <c r="A194" s="242"/>
      <c r="B194" s="256"/>
      <c r="D194" s="257"/>
      <c r="G194" s="257"/>
      <c r="H194" s="257"/>
    </row>
    <row r="195" spans="1:8" s="244" customFormat="1">
      <c r="A195" s="242"/>
      <c r="B195" s="256"/>
      <c r="D195" s="257"/>
      <c r="G195" s="257"/>
      <c r="H195" s="257"/>
    </row>
    <row r="196" spans="1:8" s="244" customFormat="1">
      <c r="A196" s="242"/>
      <c r="B196" s="256"/>
      <c r="D196" s="257"/>
      <c r="G196" s="257"/>
      <c r="H196" s="257"/>
    </row>
    <row r="197" spans="1:8" s="244" customFormat="1">
      <c r="A197" s="242"/>
      <c r="B197" s="256"/>
      <c r="D197" s="257"/>
      <c r="G197" s="257"/>
      <c r="H197" s="257"/>
    </row>
    <row r="198" spans="1:8" s="244" customFormat="1">
      <c r="A198" s="242"/>
      <c r="B198" s="256"/>
      <c r="D198" s="257"/>
      <c r="G198" s="257"/>
      <c r="H198" s="257"/>
    </row>
    <row r="199" spans="1:8" s="244" customFormat="1">
      <c r="A199" s="242"/>
      <c r="B199" s="256"/>
      <c r="D199" s="257"/>
      <c r="G199" s="257"/>
      <c r="H199" s="257"/>
    </row>
    <row r="200" spans="1:8" s="244" customFormat="1">
      <c r="A200" s="242"/>
      <c r="B200" s="256"/>
      <c r="D200" s="257"/>
      <c r="G200" s="257"/>
      <c r="H200" s="257"/>
    </row>
    <row r="201" spans="1:8" s="244" customFormat="1">
      <c r="A201" s="242"/>
      <c r="B201" s="256"/>
      <c r="D201" s="257"/>
      <c r="G201" s="257"/>
      <c r="H201" s="257"/>
    </row>
    <row r="202" spans="1:8" s="244" customFormat="1">
      <c r="A202" s="242"/>
      <c r="B202" s="256"/>
      <c r="D202" s="257"/>
      <c r="G202" s="257"/>
      <c r="H202" s="257"/>
    </row>
    <row r="203" spans="1:8" s="244" customFormat="1">
      <c r="A203" s="242"/>
      <c r="B203" s="256"/>
      <c r="D203" s="257"/>
      <c r="G203" s="257"/>
      <c r="H203" s="257"/>
    </row>
    <row r="204" spans="1:8" s="244" customFormat="1">
      <c r="A204" s="242"/>
      <c r="B204" s="256"/>
      <c r="D204" s="257"/>
      <c r="G204" s="257"/>
      <c r="H204" s="257"/>
    </row>
    <row r="205" spans="1:8" s="244" customFormat="1">
      <c r="A205" s="242"/>
      <c r="B205" s="256"/>
      <c r="D205" s="257"/>
      <c r="G205" s="257"/>
      <c r="H205" s="257"/>
    </row>
    <row r="206" spans="1:8" s="244" customFormat="1">
      <c r="A206" s="242"/>
      <c r="B206" s="256"/>
      <c r="D206" s="257"/>
      <c r="G206" s="257"/>
      <c r="H206" s="257"/>
    </row>
    <row r="207" spans="1:8" s="244" customFormat="1">
      <c r="A207" s="242"/>
      <c r="B207" s="256"/>
      <c r="D207" s="257"/>
      <c r="G207" s="257"/>
      <c r="H207" s="257"/>
    </row>
    <row r="208" spans="1:8" s="244" customFormat="1">
      <c r="A208" s="242"/>
      <c r="B208" s="256"/>
      <c r="D208" s="257"/>
      <c r="G208" s="257"/>
      <c r="H208" s="257"/>
    </row>
    <row r="209" spans="1:8" s="244" customFormat="1">
      <c r="A209" s="242"/>
      <c r="B209" s="256"/>
      <c r="D209" s="257"/>
      <c r="G209" s="257"/>
      <c r="H209" s="257"/>
    </row>
    <row r="210" spans="1:8" s="244" customFormat="1">
      <c r="A210" s="242"/>
      <c r="B210" s="256"/>
      <c r="D210" s="257"/>
      <c r="G210" s="257"/>
      <c r="H210" s="257"/>
    </row>
    <row r="211" spans="1:8" s="244" customFormat="1">
      <c r="A211" s="242"/>
      <c r="B211" s="256"/>
      <c r="D211" s="257"/>
      <c r="G211" s="257"/>
      <c r="H211" s="257"/>
    </row>
    <row r="212" spans="1:8" s="244" customFormat="1">
      <c r="A212" s="242"/>
      <c r="B212" s="256"/>
      <c r="D212" s="257"/>
      <c r="G212" s="257"/>
      <c r="H212" s="257"/>
    </row>
    <row r="213" spans="1:8" s="244" customFormat="1">
      <c r="A213" s="242"/>
      <c r="B213" s="256"/>
      <c r="D213" s="257"/>
      <c r="G213" s="257"/>
      <c r="H213" s="257"/>
    </row>
    <row r="214" spans="1:8" s="244" customFormat="1">
      <c r="A214" s="242"/>
      <c r="B214" s="256"/>
      <c r="D214" s="257"/>
      <c r="G214" s="257"/>
      <c r="H214" s="257"/>
    </row>
    <row r="215" spans="1:8" s="244" customFormat="1">
      <c r="A215" s="242"/>
      <c r="B215" s="256"/>
      <c r="D215" s="257"/>
      <c r="G215" s="257"/>
      <c r="H215" s="257"/>
    </row>
    <row r="216" spans="1:8" s="244" customFormat="1">
      <c r="A216" s="242"/>
      <c r="B216" s="256"/>
      <c r="D216" s="257"/>
      <c r="G216" s="257"/>
      <c r="H216" s="257"/>
    </row>
    <row r="217" spans="1:8" s="244" customFormat="1">
      <c r="A217" s="242"/>
      <c r="B217" s="256"/>
      <c r="D217" s="257"/>
      <c r="G217" s="257"/>
      <c r="H217" s="257"/>
    </row>
    <row r="218" spans="1:8" s="244" customFormat="1">
      <c r="A218" s="242"/>
      <c r="B218" s="256"/>
      <c r="D218" s="257"/>
      <c r="G218" s="257"/>
      <c r="H218" s="257"/>
    </row>
    <row r="219" spans="1:8" s="244" customFormat="1">
      <c r="A219" s="242"/>
      <c r="B219" s="256"/>
      <c r="D219" s="257"/>
      <c r="G219" s="257"/>
      <c r="H219" s="257"/>
    </row>
    <row r="220" spans="1:8" s="244" customFormat="1">
      <c r="A220" s="242"/>
      <c r="B220" s="256"/>
      <c r="D220" s="257"/>
      <c r="G220" s="257"/>
      <c r="H220" s="257"/>
    </row>
    <row r="221" spans="1:8" s="244" customFormat="1">
      <c r="A221" s="242"/>
      <c r="B221" s="256"/>
      <c r="D221" s="257"/>
      <c r="G221" s="257"/>
      <c r="H221" s="257"/>
    </row>
    <row r="222" spans="1:8" s="244" customFormat="1">
      <c r="A222" s="242"/>
      <c r="B222" s="256"/>
      <c r="D222" s="257"/>
      <c r="G222" s="257"/>
      <c r="H222" s="257"/>
    </row>
    <row r="223" spans="1:8" s="244" customFormat="1">
      <c r="A223" s="242"/>
      <c r="B223" s="256"/>
      <c r="D223" s="257"/>
      <c r="G223" s="257"/>
      <c r="H223" s="257"/>
    </row>
    <row r="224" spans="1:8" s="244" customFormat="1">
      <c r="A224" s="242"/>
      <c r="B224" s="256"/>
      <c r="D224" s="257"/>
      <c r="G224" s="257"/>
      <c r="H224" s="257"/>
    </row>
    <row r="225" spans="1:8" s="244" customFormat="1">
      <c r="A225" s="242"/>
      <c r="B225" s="256"/>
      <c r="D225" s="257"/>
      <c r="G225" s="257"/>
      <c r="H225" s="257"/>
    </row>
    <row r="226" spans="1:8" s="244" customFormat="1">
      <c r="A226" s="242"/>
      <c r="B226" s="256"/>
      <c r="D226" s="257"/>
      <c r="G226" s="257"/>
      <c r="H226" s="257"/>
    </row>
    <row r="227" spans="1:8" s="244" customFormat="1">
      <c r="A227" s="242"/>
      <c r="B227" s="256"/>
      <c r="D227" s="257"/>
      <c r="G227" s="257"/>
      <c r="H227" s="257"/>
    </row>
    <row r="228" spans="1:8" s="244" customFormat="1">
      <c r="A228" s="242"/>
      <c r="B228" s="256"/>
      <c r="D228" s="257"/>
      <c r="G228" s="257"/>
      <c r="H228" s="257"/>
    </row>
    <row r="229" spans="1:8" s="244" customFormat="1">
      <c r="A229" s="242"/>
      <c r="B229" s="256"/>
      <c r="D229" s="257"/>
      <c r="G229" s="257"/>
      <c r="H229" s="257"/>
    </row>
    <row r="230" spans="1:8" s="244" customFormat="1">
      <c r="A230" s="242"/>
      <c r="B230" s="256"/>
      <c r="D230" s="257"/>
      <c r="G230" s="257"/>
      <c r="H230" s="257"/>
    </row>
    <row r="231" spans="1:8" s="244" customFormat="1">
      <c r="A231" s="242"/>
      <c r="B231" s="256"/>
      <c r="D231" s="257"/>
      <c r="G231" s="257"/>
      <c r="H231" s="257"/>
    </row>
    <row r="232" spans="1:8" s="244" customFormat="1">
      <c r="A232" s="242"/>
      <c r="B232" s="256"/>
      <c r="D232" s="257"/>
      <c r="G232" s="257"/>
      <c r="H232" s="257"/>
    </row>
    <row r="233" spans="1:8" s="244" customFormat="1">
      <c r="A233" s="242"/>
      <c r="B233" s="256"/>
      <c r="D233" s="257"/>
      <c r="G233" s="257"/>
      <c r="H233" s="257"/>
    </row>
    <row r="234" spans="1:8" s="244" customFormat="1">
      <c r="A234" s="242"/>
      <c r="B234" s="256"/>
      <c r="D234" s="257"/>
      <c r="G234" s="257"/>
      <c r="H234" s="257"/>
    </row>
    <row r="235" spans="1:8" s="244" customFormat="1">
      <c r="A235" s="242"/>
      <c r="B235" s="256"/>
      <c r="D235" s="257"/>
      <c r="G235" s="257"/>
      <c r="H235" s="257"/>
    </row>
    <row r="236" spans="1:8" s="244" customFormat="1">
      <c r="A236" s="242"/>
      <c r="B236" s="256"/>
      <c r="D236" s="257"/>
      <c r="G236" s="257"/>
      <c r="H236" s="257"/>
    </row>
    <row r="237" spans="1:8" s="244" customFormat="1">
      <c r="A237" s="242"/>
      <c r="B237" s="256"/>
      <c r="D237" s="257"/>
      <c r="G237" s="257"/>
      <c r="H237" s="257"/>
    </row>
    <row r="238" spans="1:8" s="244" customFormat="1">
      <c r="A238" s="242"/>
      <c r="B238" s="256"/>
      <c r="D238" s="257"/>
      <c r="G238" s="257"/>
      <c r="H238" s="257"/>
    </row>
    <row r="239" spans="1:8" s="244" customFormat="1">
      <c r="A239" s="242"/>
      <c r="B239" s="256"/>
      <c r="D239" s="257"/>
      <c r="G239" s="257"/>
      <c r="H239" s="257"/>
    </row>
    <row r="240" spans="1:8" s="244" customFormat="1">
      <c r="A240" s="242"/>
      <c r="B240" s="256"/>
      <c r="D240" s="257"/>
      <c r="G240" s="257"/>
      <c r="H240" s="257"/>
    </row>
    <row r="241" spans="1:8" s="244" customFormat="1">
      <c r="A241" s="242"/>
      <c r="B241" s="256"/>
      <c r="D241" s="257"/>
      <c r="G241" s="257"/>
      <c r="H241" s="257"/>
    </row>
    <row r="242" spans="1:8" s="244" customFormat="1">
      <c r="A242" s="242"/>
      <c r="B242" s="256"/>
      <c r="D242" s="257"/>
      <c r="G242" s="257"/>
      <c r="H242" s="257"/>
    </row>
    <row r="243" spans="1:8" s="244" customFormat="1">
      <c r="A243" s="242"/>
      <c r="B243" s="256"/>
      <c r="D243" s="257"/>
      <c r="G243" s="257"/>
      <c r="H243" s="257"/>
    </row>
    <row r="244" spans="1:8" s="244" customFormat="1">
      <c r="A244" s="242"/>
      <c r="B244" s="256"/>
      <c r="D244" s="257"/>
      <c r="G244" s="257"/>
      <c r="H244" s="257"/>
    </row>
    <row r="245" spans="1:8" s="244" customFormat="1">
      <c r="A245" s="242"/>
      <c r="B245" s="256"/>
      <c r="D245" s="257"/>
      <c r="G245" s="257"/>
      <c r="H245" s="257"/>
    </row>
    <row r="246" spans="1:8" s="244" customFormat="1">
      <c r="A246" s="242"/>
      <c r="B246" s="256"/>
      <c r="D246" s="257"/>
      <c r="G246" s="257"/>
      <c r="H246" s="257"/>
    </row>
    <row r="247" spans="1:8" s="244" customFormat="1">
      <c r="A247" s="242"/>
      <c r="B247" s="256"/>
      <c r="D247" s="257"/>
      <c r="G247" s="257"/>
      <c r="H247" s="257"/>
    </row>
    <row r="248" spans="1:8" s="244" customFormat="1">
      <c r="A248" s="242"/>
      <c r="B248" s="256"/>
      <c r="D248" s="257"/>
      <c r="G248" s="257"/>
      <c r="H248" s="257"/>
    </row>
    <row r="249" spans="1:8" s="244" customFormat="1">
      <c r="A249" s="242"/>
      <c r="B249" s="256"/>
      <c r="D249" s="257"/>
      <c r="G249" s="257"/>
      <c r="H249" s="257"/>
    </row>
    <row r="250" spans="1:8" s="244" customFormat="1">
      <c r="A250" s="242"/>
      <c r="B250" s="256"/>
      <c r="D250" s="257"/>
      <c r="G250" s="257"/>
      <c r="H250" s="257"/>
    </row>
    <row r="251" spans="1:8" s="244" customFormat="1">
      <c r="A251" s="242"/>
      <c r="B251" s="256"/>
      <c r="D251" s="257"/>
      <c r="G251" s="257"/>
      <c r="H251" s="257"/>
    </row>
    <row r="252" spans="1:8" s="244" customFormat="1">
      <c r="A252" s="242"/>
      <c r="B252" s="256"/>
      <c r="D252" s="257"/>
      <c r="G252" s="257"/>
      <c r="H252" s="257"/>
    </row>
    <row r="253" spans="1:8" s="244" customFormat="1">
      <c r="A253" s="242"/>
      <c r="B253" s="256"/>
      <c r="D253" s="257"/>
      <c r="G253" s="257"/>
      <c r="H253" s="257"/>
    </row>
    <row r="254" spans="1:8" s="244" customFormat="1">
      <c r="A254" s="242"/>
      <c r="B254" s="256"/>
      <c r="D254" s="257"/>
      <c r="G254" s="257"/>
      <c r="H254" s="257"/>
    </row>
    <row r="255" spans="1:8" s="244" customFormat="1">
      <c r="A255" s="242"/>
      <c r="B255" s="256"/>
      <c r="D255" s="257"/>
      <c r="G255" s="257"/>
      <c r="H255" s="257"/>
    </row>
    <row r="256" spans="1:8" s="244" customFormat="1">
      <c r="A256" s="242"/>
      <c r="B256" s="256"/>
      <c r="D256" s="257"/>
      <c r="G256" s="257"/>
      <c r="H256" s="257"/>
    </row>
    <row r="257" spans="1:8" s="244" customFormat="1">
      <c r="A257" s="242"/>
      <c r="B257" s="256"/>
      <c r="D257" s="257"/>
      <c r="G257" s="257"/>
      <c r="H257" s="257"/>
    </row>
    <row r="258" spans="1:8" s="244" customFormat="1">
      <c r="A258" s="242"/>
      <c r="B258" s="256"/>
      <c r="D258" s="257"/>
      <c r="G258" s="257"/>
      <c r="H258" s="257"/>
    </row>
    <row r="259" spans="1:8" s="244" customFormat="1">
      <c r="A259" s="242"/>
      <c r="B259" s="256"/>
      <c r="D259" s="257"/>
      <c r="G259" s="257"/>
      <c r="H259" s="257"/>
    </row>
    <row r="260" spans="1:8" s="244" customFormat="1">
      <c r="A260" s="242"/>
      <c r="B260" s="256"/>
      <c r="D260" s="257"/>
      <c r="G260" s="257"/>
      <c r="H260" s="257"/>
    </row>
    <row r="261" spans="1:8" s="244" customFormat="1">
      <c r="A261" s="242"/>
      <c r="B261" s="256"/>
      <c r="D261" s="257"/>
      <c r="G261" s="257"/>
      <c r="H261" s="257"/>
    </row>
    <row r="262" spans="1:8" s="244" customFormat="1">
      <c r="A262" s="242"/>
      <c r="B262" s="256"/>
      <c r="D262" s="257"/>
      <c r="G262" s="257"/>
      <c r="H262" s="257"/>
    </row>
    <row r="263" spans="1:8" s="244" customFormat="1">
      <c r="A263" s="242"/>
      <c r="B263" s="256"/>
      <c r="D263" s="257"/>
      <c r="G263" s="257"/>
      <c r="H263" s="257"/>
    </row>
    <row r="264" spans="1:8" s="244" customFormat="1">
      <c r="A264" s="242"/>
      <c r="B264" s="256"/>
      <c r="D264" s="257"/>
      <c r="G264" s="257"/>
      <c r="H264" s="257"/>
    </row>
    <row r="265" spans="1:8" s="244" customFormat="1">
      <c r="A265" s="242"/>
      <c r="B265" s="256"/>
      <c r="D265" s="257"/>
      <c r="G265" s="257"/>
      <c r="H265" s="257"/>
    </row>
    <row r="266" spans="1:8" s="244" customFormat="1">
      <c r="A266" s="242"/>
      <c r="B266" s="256"/>
      <c r="D266" s="257"/>
      <c r="G266" s="257"/>
      <c r="H266" s="257"/>
    </row>
    <row r="267" spans="1:8" s="244" customFormat="1">
      <c r="A267" s="242"/>
      <c r="B267" s="256"/>
      <c r="D267" s="257"/>
      <c r="G267" s="257"/>
      <c r="H267" s="257"/>
    </row>
    <row r="268" spans="1:8" s="244" customFormat="1">
      <c r="A268" s="242"/>
      <c r="B268" s="256"/>
      <c r="D268" s="257"/>
      <c r="G268" s="257"/>
      <c r="H268" s="257"/>
    </row>
    <row r="269" spans="1:8" s="244" customFormat="1">
      <c r="A269" s="242"/>
      <c r="B269" s="256"/>
      <c r="D269" s="257"/>
      <c r="G269" s="257"/>
      <c r="H269" s="257"/>
    </row>
    <row r="270" spans="1:8" s="244" customFormat="1">
      <c r="A270" s="242"/>
      <c r="B270" s="256"/>
      <c r="D270" s="257"/>
      <c r="G270" s="257"/>
      <c r="H270" s="257"/>
    </row>
    <row r="271" spans="1:8" s="244" customFormat="1">
      <c r="A271" s="242"/>
      <c r="B271" s="256"/>
      <c r="D271" s="257"/>
      <c r="G271" s="257"/>
      <c r="H271" s="257"/>
    </row>
    <row r="272" spans="1:8" s="244" customFormat="1">
      <c r="A272" s="242"/>
      <c r="B272" s="256"/>
      <c r="D272" s="257"/>
      <c r="G272" s="257"/>
      <c r="H272" s="257"/>
    </row>
    <row r="273" spans="1:8" s="244" customFormat="1">
      <c r="A273" s="242"/>
      <c r="B273" s="256"/>
      <c r="D273" s="257"/>
      <c r="G273" s="257"/>
      <c r="H273" s="257"/>
    </row>
    <row r="274" spans="1:8" s="244" customFormat="1">
      <c r="A274" s="242"/>
      <c r="B274" s="256"/>
      <c r="D274" s="257"/>
      <c r="G274" s="257"/>
      <c r="H274" s="257"/>
    </row>
    <row r="275" spans="1:8" s="244" customFormat="1">
      <c r="A275" s="242"/>
      <c r="B275" s="256"/>
      <c r="D275" s="257"/>
      <c r="G275" s="257"/>
      <c r="H275" s="257"/>
    </row>
    <row r="276" spans="1:8" s="244" customFormat="1">
      <c r="A276" s="242"/>
      <c r="B276" s="256"/>
      <c r="D276" s="257"/>
      <c r="G276" s="257"/>
      <c r="H276" s="257"/>
    </row>
    <row r="277" spans="1:8" s="244" customFormat="1">
      <c r="A277" s="242"/>
      <c r="B277" s="256"/>
      <c r="D277" s="257"/>
      <c r="G277" s="257"/>
      <c r="H277" s="257"/>
    </row>
    <row r="278" spans="1:8" s="244" customFormat="1">
      <c r="A278" s="242"/>
      <c r="B278" s="256"/>
      <c r="D278" s="257"/>
      <c r="G278" s="257"/>
      <c r="H278" s="257"/>
    </row>
    <row r="279" spans="1:8" s="244" customFormat="1">
      <c r="A279" s="242"/>
      <c r="B279" s="256"/>
      <c r="D279" s="257"/>
      <c r="G279" s="257"/>
      <c r="H279" s="257"/>
    </row>
    <row r="280" spans="1:8" s="244" customFormat="1">
      <c r="A280" s="242"/>
      <c r="B280" s="256"/>
      <c r="D280" s="257"/>
      <c r="G280" s="257"/>
      <c r="H280" s="257"/>
    </row>
    <row r="281" spans="1:8" s="244" customFormat="1">
      <c r="A281" s="242"/>
      <c r="B281" s="256"/>
      <c r="D281" s="257"/>
      <c r="G281" s="257"/>
      <c r="H281" s="257"/>
    </row>
    <row r="282" spans="1:8" s="244" customFormat="1">
      <c r="A282" s="242"/>
      <c r="B282" s="256"/>
      <c r="D282" s="257"/>
      <c r="G282" s="257"/>
      <c r="H282" s="257"/>
    </row>
    <row r="283" spans="1:8" s="244" customFormat="1">
      <c r="A283" s="242"/>
      <c r="B283" s="256"/>
      <c r="D283" s="257"/>
      <c r="G283" s="257"/>
      <c r="H283" s="257"/>
    </row>
    <row r="284" spans="1:8" s="244" customFormat="1">
      <c r="A284" s="242"/>
      <c r="B284" s="256"/>
      <c r="D284" s="257"/>
      <c r="G284" s="257"/>
      <c r="H284" s="257"/>
    </row>
    <row r="285" spans="1:8" s="244" customFormat="1">
      <c r="A285" s="242"/>
      <c r="B285" s="256"/>
      <c r="D285" s="257"/>
      <c r="G285" s="257"/>
      <c r="H285" s="257"/>
    </row>
    <row r="286" spans="1:8" s="244" customFormat="1">
      <c r="A286" s="242"/>
      <c r="B286" s="256"/>
      <c r="D286" s="257"/>
      <c r="G286" s="257"/>
      <c r="H286" s="257"/>
    </row>
    <row r="287" spans="1:8" s="244" customFormat="1">
      <c r="A287" s="242"/>
      <c r="B287" s="256"/>
      <c r="D287" s="257"/>
      <c r="G287" s="257"/>
      <c r="H287" s="257"/>
    </row>
    <row r="288" spans="1:8" s="244" customFormat="1">
      <c r="A288" s="242"/>
      <c r="B288" s="256"/>
      <c r="D288" s="257"/>
      <c r="G288" s="257"/>
      <c r="H288" s="257"/>
    </row>
    <row r="289" spans="1:8" s="244" customFormat="1">
      <c r="A289" s="242"/>
      <c r="B289" s="256"/>
      <c r="D289" s="257"/>
      <c r="G289" s="257"/>
      <c r="H289" s="257"/>
    </row>
    <row r="290" spans="1:8" s="244" customFormat="1">
      <c r="A290" s="242"/>
      <c r="B290" s="256"/>
      <c r="D290" s="257"/>
      <c r="G290" s="257"/>
      <c r="H290" s="257"/>
    </row>
    <row r="291" spans="1:8" s="244" customFormat="1">
      <c r="A291" s="242"/>
      <c r="B291" s="256"/>
      <c r="D291" s="257"/>
      <c r="G291" s="257"/>
      <c r="H291" s="257"/>
    </row>
    <row r="292" spans="1:8" s="244" customFormat="1">
      <c r="A292" s="242"/>
      <c r="B292" s="256"/>
      <c r="D292" s="257"/>
      <c r="G292" s="257"/>
      <c r="H292" s="257"/>
    </row>
    <row r="293" spans="1:8" s="244" customFormat="1">
      <c r="A293" s="242"/>
      <c r="B293" s="256"/>
      <c r="D293" s="257"/>
      <c r="G293" s="257"/>
      <c r="H293" s="257"/>
    </row>
    <row r="294" spans="1:8" s="244" customFormat="1">
      <c r="A294" s="242"/>
      <c r="B294" s="256"/>
      <c r="D294" s="257"/>
      <c r="G294" s="257"/>
      <c r="H294" s="257"/>
    </row>
    <row r="295" spans="1:8" s="244" customFormat="1">
      <c r="A295" s="242"/>
      <c r="B295" s="256"/>
      <c r="D295" s="257"/>
      <c r="G295" s="257"/>
      <c r="H295" s="257"/>
    </row>
    <row r="296" spans="1:8" s="244" customFormat="1">
      <c r="A296" s="242"/>
      <c r="B296" s="256"/>
      <c r="D296" s="257"/>
      <c r="G296" s="257"/>
      <c r="H296" s="257"/>
    </row>
    <row r="297" spans="1:8" s="244" customFormat="1">
      <c r="A297" s="242"/>
      <c r="B297" s="256"/>
      <c r="D297" s="257"/>
      <c r="G297" s="257"/>
      <c r="H297" s="257"/>
    </row>
    <row r="298" spans="1:8" s="244" customFormat="1">
      <c r="A298" s="242"/>
      <c r="B298" s="256"/>
      <c r="D298" s="257"/>
      <c r="G298" s="257"/>
      <c r="H298" s="257"/>
    </row>
    <row r="299" spans="1:8" s="244" customFormat="1">
      <c r="A299" s="242"/>
      <c r="B299" s="256"/>
      <c r="D299" s="257"/>
      <c r="G299" s="257"/>
      <c r="H299" s="257"/>
    </row>
    <row r="300" spans="1:8" s="244" customFormat="1">
      <c r="A300" s="242"/>
      <c r="B300" s="256"/>
      <c r="D300" s="257"/>
      <c r="G300" s="257"/>
      <c r="H300" s="257"/>
    </row>
    <row r="301" spans="1:8" s="244" customFormat="1">
      <c r="A301" s="242"/>
      <c r="B301" s="256"/>
      <c r="D301" s="257"/>
      <c r="G301" s="257"/>
      <c r="H301" s="257"/>
    </row>
    <row r="302" spans="1:8" s="244" customFormat="1">
      <c r="A302" s="242"/>
      <c r="B302" s="256"/>
      <c r="D302" s="257"/>
      <c r="G302" s="257"/>
      <c r="H302" s="257"/>
    </row>
    <row r="303" spans="1:8" s="244" customFormat="1">
      <c r="A303" s="242"/>
      <c r="B303" s="256"/>
      <c r="D303" s="257"/>
      <c r="G303" s="257"/>
      <c r="H303" s="257"/>
    </row>
    <row r="304" spans="1:8" s="244" customFormat="1">
      <c r="A304" s="242"/>
      <c r="B304" s="256"/>
      <c r="D304" s="257"/>
      <c r="G304" s="257"/>
      <c r="H304" s="257"/>
    </row>
    <row r="305" spans="1:8" s="244" customFormat="1">
      <c r="A305" s="242"/>
      <c r="B305" s="256"/>
      <c r="D305" s="257"/>
      <c r="G305" s="257"/>
      <c r="H305" s="257"/>
    </row>
    <row r="306" spans="1:8" s="244" customFormat="1">
      <c r="A306" s="242"/>
      <c r="B306" s="256"/>
      <c r="D306" s="257"/>
      <c r="G306" s="257"/>
      <c r="H306" s="257"/>
    </row>
    <row r="307" spans="1:8" s="244" customFormat="1">
      <c r="A307" s="242"/>
      <c r="B307" s="256"/>
      <c r="D307" s="257"/>
      <c r="G307" s="257"/>
      <c r="H307" s="257"/>
    </row>
    <row r="308" spans="1:8" s="244" customFormat="1">
      <c r="A308" s="242"/>
      <c r="B308" s="256"/>
      <c r="D308" s="257"/>
      <c r="G308" s="257"/>
      <c r="H308" s="257"/>
    </row>
    <row r="309" spans="1:8" s="244" customFormat="1">
      <c r="A309" s="242"/>
      <c r="B309" s="256"/>
      <c r="D309" s="257"/>
      <c r="G309" s="257"/>
      <c r="H309" s="257"/>
    </row>
    <row r="310" spans="1:8" s="244" customFormat="1">
      <c r="A310" s="242"/>
      <c r="B310" s="256"/>
      <c r="D310" s="257"/>
      <c r="G310" s="257"/>
      <c r="H310" s="257"/>
    </row>
    <row r="311" spans="1:8" s="244" customFormat="1">
      <c r="A311" s="242"/>
      <c r="B311" s="256"/>
      <c r="D311" s="257"/>
      <c r="G311" s="257"/>
      <c r="H311" s="257"/>
    </row>
    <row r="312" spans="1:8" s="244" customFormat="1">
      <c r="A312" s="242"/>
      <c r="B312" s="256"/>
      <c r="D312" s="257"/>
      <c r="G312" s="257"/>
      <c r="H312" s="257"/>
    </row>
    <row r="313" spans="1:8" s="244" customFormat="1">
      <c r="A313" s="242"/>
      <c r="B313" s="256"/>
      <c r="D313" s="257"/>
      <c r="G313" s="257"/>
      <c r="H313" s="257"/>
    </row>
    <row r="314" spans="1:8" s="244" customFormat="1">
      <c r="A314" s="242"/>
      <c r="B314" s="256"/>
      <c r="D314" s="257"/>
      <c r="G314" s="257"/>
      <c r="H314" s="257"/>
    </row>
    <row r="315" spans="1:8" s="244" customFormat="1">
      <c r="A315" s="242"/>
      <c r="B315" s="256"/>
      <c r="D315" s="257"/>
      <c r="G315" s="257"/>
      <c r="H315" s="257"/>
    </row>
    <row r="316" spans="1:8" s="244" customFormat="1">
      <c r="A316" s="242"/>
      <c r="B316" s="256"/>
      <c r="D316" s="257"/>
      <c r="G316" s="257"/>
      <c r="H316" s="257"/>
    </row>
    <row r="317" spans="1:8" s="244" customFormat="1">
      <c r="A317" s="242"/>
      <c r="B317" s="256"/>
      <c r="D317" s="257"/>
      <c r="G317" s="257"/>
      <c r="H317" s="257"/>
    </row>
    <row r="318" spans="1:8" s="244" customFormat="1">
      <c r="A318" s="242"/>
      <c r="B318" s="256"/>
      <c r="D318" s="257"/>
      <c r="G318" s="257"/>
      <c r="H318" s="257"/>
    </row>
    <row r="319" spans="1:8" s="244" customFormat="1">
      <c r="A319" s="242"/>
      <c r="B319" s="256"/>
      <c r="D319" s="257"/>
      <c r="G319" s="257"/>
      <c r="H319" s="257"/>
    </row>
    <row r="320" spans="1:8" s="244" customFormat="1">
      <c r="A320" s="242"/>
      <c r="B320" s="256"/>
      <c r="D320" s="257"/>
      <c r="G320" s="257"/>
      <c r="H320" s="257"/>
    </row>
    <row r="321" spans="1:8" s="244" customFormat="1">
      <c r="A321" s="242"/>
      <c r="B321" s="256"/>
      <c r="D321" s="257"/>
      <c r="G321" s="257"/>
      <c r="H321" s="257"/>
    </row>
    <row r="322" spans="1:8" s="244" customFormat="1">
      <c r="A322" s="242"/>
      <c r="B322" s="256"/>
      <c r="D322" s="257"/>
      <c r="G322" s="257"/>
      <c r="H322" s="257"/>
    </row>
    <row r="323" spans="1:8" s="244" customFormat="1">
      <c r="A323" s="242"/>
      <c r="B323" s="256"/>
      <c r="D323" s="257"/>
      <c r="G323" s="257"/>
      <c r="H323" s="257"/>
    </row>
    <row r="324" spans="1:8" s="244" customFormat="1">
      <c r="A324" s="242"/>
      <c r="B324" s="256"/>
      <c r="D324" s="257"/>
      <c r="G324" s="257"/>
      <c r="H324" s="257"/>
    </row>
    <row r="325" spans="1:8" s="244" customFormat="1">
      <c r="A325" s="242"/>
      <c r="B325" s="256"/>
      <c r="D325" s="257"/>
      <c r="G325" s="257"/>
      <c r="H325" s="257"/>
    </row>
    <row r="326" spans="1:8" s="244" customFormat="1">
      <c r="A326" s="242"/>
      <c r="B326" s="256"/>
      <c r="D326" s="257"/>
      <c r="G326" s="257"/>
      <c r="H326" s="257"/>
    </row>
    <row r="327" spans="1:8" s="244" customFormat="1">
      <c r="A327" s="242"/>
      <c r="B327" s="256"/>
      <c r="D327" s="257"/>
      <c r="G327" s="257"/>
      <c r="H327" s="257"/>
    </row>
    <row r="328" spans="1:8" s="244" customFormat="1">
      <c r="A328" s="242"/>
      <c r="B328" s="256"/>
      <c r="D328" s="257"/>
      <c r="G328" s="257"/>
      <c r="H328" s="257"/>
    </row>
    <row r="329" spans="1:8" s="244" customFormat="1">
      <c r="A329" s="242"/>
      <c r="B329" s="256"/>
      <c r="D329" s="257"/>
      <c r="G329" s="257"/>
      <c r="H329" s="257"/>
    </row>
    <row r="330" spans="1:8" s="244" customFormat="1">
      <c r="A330" s="242"/>
      <c r="B330" s="256"/>
      <c r="D330" s="257"/>
      <c r="G330" s="257"/>
      <c r="H330" s="257"/>
    </row>
    <row r="331" spans="1:8" s="244" customFormat="1">
      <c r="A331" s="242"/>
      <c r="B331" s="256"/>
      <c r="D331" s="257"/>
      <c r="G331" s="257"/>
      <c r="H331" s="257"/>
    </row>
    <row r="332" spans="1:8" s="244" customFormat="1">
      <c r="A332" s="242"/>
      <c r="B332" s="256"/>
      <c r="D332" s="257"/>
      <c r="G332" s="257"/>
      <c r="H332" s="257"/>
    </row>
    <row r="333" spans="1:8" s="244" customFormat="1">
      <c r="A333" s="242"/>
      <c r="B333" s="256"/>
      <c r="D333" s="257"/>
      <c r="G333" s="257"/>
      <c r="H333" s="257"/>
    </row>
    <row r="334" spans="1:8" s="244" customFormat="1">
      <c r="A334" s="242"/>
      <c r="B334" s="256"/>
      <c r="D334" s="257"/>
      <c r="G334" s="257"/>
      <c r="H334" s="257"/>
    </row>
    <row r="335" spans="1:8" s="244" customFormat="1">
      <c r="A335" s="242"/>
      <c r="B335" s="256"/>
      <c r="D335" s="257"/>
      <c r="G335" s="257"/>
      <c r="H335" s="257"/>
    </row>
    <row r="336" spans="1:8" s="244" customFormat="1">
      <c r="A336" s="242"/>
      <c r="B336" s="256"/>
      <c r="D336" s="257"/>
      <c r="G336" s="257"/>
      <c r="H336" s="257"/>
    </row>
    <row r="337" spans="1:8" s="244" customFormat="1">
      <c r="A337" s="242"/>
      <c r="B337" s="256"/>
      <c r="D337" s="257"/>
      <c r="G337" s="257"/>
      <c r="H337" s="257"/>
    </row>
    <row r="338" spans="1:8" s="244" customFormat="1">
      <c r="A338" s="242"/>
      <c r="B338" s="256"/>
      <c r="D338" s="257"/>
      <c r="G338" s="257"/>
      <c r="H338" s="257"/>
    </row>
    <row r="339" spans="1:8" s="244" customFormat="1">
      <c r="A339" s="242"/>
      <c r="B339" s="256"/>
      <c r="D339" s="257"/>
      <c r="G339" s="257"/>
      <c r="H339" s="257"/>
    </row>
    <row r="340" spans="1:8" s="244" customFormat="1">
      <c r="A340" s="242"/>
      <c r="B340" s="256"/>
      <c r="D340" s="257"/>
      <c r="G340" s="257"/>
      <c r="H340" s="257"/>
    </row>
    <row r="341" spans="1:8" s="244" customFormat="1">
      <c r="A341" s="242"/>
      <c r="B341" s="256"/>
      <c r="D341" s="257"/>
      <c r="G341" s="257"/>
      <c r="H341" s="257"/>
    </row>
    <row r="342" spans="1:8" s="244" customFormat="1">
      <c r="A342" s="242"/>
      <c r="B342" s="256"/>
      <c r="D342" s="257"/>
      <c r="G342" s="257"/>
      <c r="H342" s="257"/>
    </row>
    <row r="343" spans="1:8" s="244" customFormat="1">
      <c r="A343" s="242"/>
      <c r="B343" s="256"/>
      <c r="D343" s="257"/>
      <c r="G343" s="257"/>
      <c r="H343" s="257"/>
    </row>
    <row r="344" spans="1:8" s="244" customFormat="1">
      <c r="A344" s="242"/>
      <c r="B344" s="256"/>
      <c r="D344" s="257"/>
      <c r="G344" s="257"/>
      <c r="H344" s="257"/>
    </row>
    <row r="345" spans="1:8" s="244" customFormat="1">
      <c r="A345" s="242"/>
      <c r="B345" s="256"/>
      <c r="D345" s="257"/>
      <c r="G345" s="257"/>
      <c r="H345" s="257"/>
    </row>
    <row r="346" spans="1:8" s="244" customFormat="1">
      <c r="A346" s="242"/>
      <c r="B346" s="256"/>
      <c r="D346" s="257"/>
      <c r="G346" s="257"/>
      <c r="H346" s="257"/>
    </row>
    <row r="347" spans="1:8" s="244" customFormat="1">
      <c r="A347" s="242"/>
      <c r="B347" s="256"/>
      <c r="D347" s="257"/>
      <c r="G347" s="257"/>
      <c r="H347" s="257"/>
    </row>
    <row r="348" spans="1:8" s="244" customFormat="1">
      <c r="A348" s="242"/>
      <c r="B348" s="256"/>
      <c r="D348" s="257"/>
      <c r="G348" s="257"/>
      <c r="H348" s="257"/>
    </row>
    <row r="349" spans="1:8" s="244" customFormat="1">
      <c r="A349" s="242"/>
      <c r="B349" s="256"/>
      <c r="D349" s="257"/>
      <c r="G349" s="257"/>
      <c r="H349" s="257"/>
    </row>
    <row r="350" spans="1:8" s="244" customFormat="1">
      <c r="A350" s="242"/>
      <c r="B350" s="256"/>
      <c r="D350" s="257"/>
      <c r="G350" s="257"/>
      <c r="H350" s="257"/>
    </row>
    <row r="351" spans="1:8" s="244" customFormat="1">
      <c r="A351" s="242"/>
      <c r="B351" s="256"/>
      <c r="D351" s="257"/>
      <c r="G351" s="257"/>
      <c r="H351" s="257"/>
    </row>
    <row r="352" spans="1:8" s="244" customFormat="1">
      <c r="A352" s="242"/>
      <c r="B352" s="256"/>
      <c r="D352" s="257"/>
      <c r="G352" s="257"/>
      <c r="H352" s="257"/>
    </row>
    <row r="353" spans="1:8" s="244" customFormat="1">
      <c r="A353" s="242"/>
      <c r="B353" s="256"/>
      <c r="D353" s="257"/>
      <c r="G353" s="257"/>
      <c r="H353" s="257"/>
    </row>
    <row r="354" spans="1:8" s="244" customFormat="1">
      <c r="A354" s="242"/>
      <c r="B354" s="256"/>
      <c r="D354" s="257"/>
      <c r="G354" s="257"/>
      <c r="H354" s="257"/>
    </row>
    <row r="355" spans="1:8" s="244" customFormat="1">
      <c r="A355" s="242"/>
      <c r="B355" s="256"/>
      <c r="D355" s="257"/>
      <c r="G355" s="257"/>
      <c r="H355" s="257"/>
    </row>
    <row r="356" spans="1:8" s="244" customFormat="1">
      <c r="A356" s="242"/>
      <c r="B356" s="256"/>
      <c r="D356" s="257"/>
      <c r="G356" s="257"/>
      <c r="H356" s="257"/>
    </row>
    <row r="357" spans="1:8" s="244" customFormat="1">
      <c r="A357" s="242"/>
      <c r="B357" s="256"/>
      <c r="D357" s="257"/>
      <c r="G357" s="257"/>
      <c r="H357" s="257"/>
    </row>
    <row r="358" spans="1:8" s="244" customFormat="1">
      <c r="A358" s="242"/>
      <c r="B358" s="256"/>
      <c r="D358" s="257"/>
      <c r="G358" s="257"/>
      <c r="H358" s="257"/>
    </row>
    <row r="359" spans="1:8" s="244" customFormat="1">
      <c r="A359" s="242"/>
      <c r="B359" s="256"/>
      <c r="D359" s="257"/>
      <c r="G359" s="257"/>
      <c r="H359" s="257"/>
    </row>
    <row r="360" spans="1:8" s="244" customFormat="1">
      <c r="A360" s="242"/>
      <c r="B360" s="256"/>
      <c r="D360" s="257"/>
      <c r="G360" s="257"/>
      <c r="H360" s="257"/>
    </row>
    <row r="361" spans="1:8" s="244" customFormat="1">
      <c r="A361" s="242"/>
      <c r="B361" s="256"/>
      <c r="D361" s="257"/>
      <c r="G361" s="257"/>
      <c r="H361" s="257"/>
    </row>
    <row r="362" spans="1:8" s="244" customFormat="1">
      <c r="A362" s="242"/>
      <c r="B362" s="256"/>
      <c r="D362" s="257"/>
      <c r="G362" s="257"/>
      <c r="H362" s="257"/>
    </row>
    <row r="363" spans="1:8" s="244" customFormat="1">
      <c r="A363" s="242"/>
      <c r="B363" s="256"/>
      <c r="D363" s="257"/>
      <c r="G363" s="257"/>
      <c r="H363" s="257"/>
    </row>
    <row r="364" spans="1:8" s="244" customFormat="1">
      <c r="A364" s="242"/>
      <c r="B364" s="256"/>
      <c r="D364" s="257"/>
      <c r="G364" s="257"/>
      <c r="H364" s="257"/>
    </row>
    <row r="365" spans="1:8" s="244" customFormat="1">
      <c r="A365" s="242"/>
      <c r="B365" s="256"/>
      <c r="D365" s="257"/>
      <c r="G365" s="257"/>
      <c r="H365" s="257"/>
    </row>
    <row r="366" spans="1:8" s="244" customFormat="1">
      <c r="A366" s="242"/>
      <c r="B366" s="256"/>
      <c r="D366" s="257"/>
      <c r="G366" s="257"/>
      <c r="H366" s="257"/>
    </row>
    <row r="367" spans="1:8" s="244" customFormat="1">
      <c r="A367" s="242"/>
      <c r="B367" s="256"/>
      <c r="D367" s="257"/>
      <c r="G367" s="257"/>
      <c r="H367" s="257"/>
    </row>
    <row r="368" spans="1:8" s="244" customFormat="1">
      <c r="A368" s="242"/>
      <c r="B368" s="256"/>
      <c r="D368" s="257"/>
      <c r="G368" s="257"/>
      <c r="H368" s="257"/>
    </row>
    <row r="369" spans="1:8" s="244" customFormat="1">
      <c r="A369" s="242"/>
      <c r="B369" s="256"/>
      <c r="D369" s="257"/>
      <c r="G369" s="257"/>
      <c r="H369" s="257"/>
    </row>
    <row r="370" spans="1:8" s="244" customFormat="1">
      <c r="A370" s="242"/>
      <c r="B370" s="256"/>
      <c r="D370" s="257"/>
      <c r="G370" s="257"/>
      <c r="H370" s="257"/>
    </row>
    <row r="371" spans="1:8" s="244" customFormat="1">
      <c r="A371" s="242"/>
      <c r="B371" s="256"/>
      <c r="D371" s="257"/>
      <c r="G371" s="257"/>
      <c r="H371" s="257"/>
    </row>
    <row r="372" spans="1:8" s="244" customFormat="1">
      <c r="A372" s="242"/>
      <c r="B372" s="256"/>
      <c r="D372" s="257"/>
      <c r="G372" s="257"/>
      <c r="H372" s="257"/>
    </row>
    <row r="373" spans="1:8" s="244" customFormat="1">
      <c r="A373" s="242"/>
      <c r="B373" s="256"/>
      <c r="D373" s="257"/>
      <c r="G373" s="257"/>
      <c r="H373" s="257"/>
    </row>
    <row r="374" spans="1:8" s="244" customFormat="1">
      <c r="A374" s="242"/>
      <c r="B374" s="256"/>
      <c r="D374" s="257"/>
      <c r="G374" s="257"/>
      <c r="H374" s="257"/>
    </row>
    <row r="375" spans="1:8" s="244" customFormat="1">
      <c r="A375" s="242"/>
      <c r="B375" s="256"/>
      <c r="D375" s="257"/>
      <c r="G375" s="257"/>
      <c r="H375" s="257"/>
    </row>
    <row r="376" spans="1:8" s="244" customFormat="1">
      <c r="A376" s="242"/>
      <c r="B376" s="256"/>
      <c r="D376" s="257"/>
      <c r="G376" s="257"/>
      <c r="H376" s="257"/>
    </row>
    <row r="377" spans="1:8" s="244" customFormat="1">
      <c r="A377" s="242"/>
      <c r="B377" s="256"/>
      <c r="D377" s="257"/>
      <c r="G377" s="257"/>
      <c r="H377" s="257"/>
    </row>
    <row r="378" spans="1:8" s="244" customFormat="1">
      <c r="A378" s="242"/>
      <c r="B378" s="256"/>
      <c r="D378" s="257"/>
      <c r="G378" s="257"/>
      <c r="H378" s="257"/>
    </row>
    <row r="379" spans="1:8" s="244" customFormat="1">
      <c r="A379" s="242"/>
      <c r="B379" s="256"/>
      <c r="D379" s="257"/>
      <c r="G379" s="257"/>
      <c r="H379" s="257"/>
    </row>
    <row r="380" spans="1:8" s="244" customFormat="1">
      <c r="A380" s="242"/>
      <c r="B380" s="256"/>
      <c r="D380" s="257"/>
      <c r="G380" s="257"/>
      <c r="H380" s="257"/>
    </row>
    <row r="381" spans="1:8" s="244" customFormat="1">
      <c r="A381" s="242"/>
      <c r="B381" s="256"/>
      <c r="D381" s="257"/>
      <c r="G381" s="257"/>
      <c r="H381" s="257"/>
    </row>
    <row r="382" spans="1:8" s="244" customFormat="1">
      <c r="A382" s="242"/>
      <c r="B382" s="256"/>
      <c r="D382" s="257"/>
      <c r="G382" s="257"/>
      <c r="H382" s="257"/>
    </row>
    <row r="383" spans="1:8" s="244" customFormat="1">
      <c r="A383" s="242"/>
      <c r="B383" s="256"/>
      <c r="D383" s="257"/>
      <c r="G383" s="257"/>
      <c r="H383" s="257"/>
    </row>
    <row r="384" spans="1:8" s="244" customFormat="1">
      <c r="A384" s="242"/>
      <c r="B384" s="256"/>
      <c r="D384" s="257"/>
      <c r="G384" s="257"/>
      <c r="H384" s="257"/>
    </row>
    <row r="385" spans="1:8" s="244" customFormat="1">
      <c r="A385" s="242"/>
      <c r="B385" s="256"/>
      <c r="D385" s="257"/>
      <c r="G385" s="257"/>
      <c r="H385" s="257"/>
    </row>
    <row r="386" spans="1:8" s="244" customFormat="1">
      <c r="A386" s="242"/>
      <c r="B386" s="256"/>
      <c r="D386" s="257"/>
      <c r="G386" s="257"/>
      <c r="H386" s="257"/>
    </row>
    <row r="387" spans="1:8" s="244" customFormat="1">
      <c r="A387" s="242"/>
      <c r="B387" s="256"/>
      <c r="D387" s="257"/>
      <c r="G387" s="257"/>
      <c r="H387" s="257"/>
    </row>
    <row r="388" spans="1:8" s="244" customFormat="1">
      <c r="A388" s="242"/>
      <c r="B388" s="256"/>
      <c r="D388" s="257"/>
      <c r="G388" s="257"/>
      <c r="H388" s="257"/>
    </row>
    <row r="389" spans="1:8" s="244" customFormat="1">
      <c r="A389" s="242"/>
      <c r="B389" s="256"/>
      <c r="D389" s="257"/>
      <c r="G389" s="257"/>
      <c r="H389" s="257"/>
    </row>
    <row r="390" spans="1:8" s="244" customFormat="1">
      <c r="A390" s="242"/>
      <c r="B390" s="256"/>
      <c r="D390" s="257"/>
      <c r="G390" s="257"/>
      <c r="H390" s="257"/>
    </row>
    <row r="391" spans="1:8" s="244" customFormat="1">
      <c r="A391" s="242"/>
      <c r="B391" s="256"/>
      <c r="D391" s="257"/>
      <c r="G391" s="257"/>
      <c r="H391" s="257"/>
    </row>
    <row r="392" spans="1:8" s="244" customFormat="1">
      <c r="A392" s="242"/>
      <c r="B392" s="256"/>
      <c r="D392" s="257"/>
      <c r="G392" s="257"/>
      <c r="H392" s="257"/>
    </row>
    <row r="393" spans="1:8" s="244" customFormat="1">
      <c r="A393" s="242"/>
      <c r="B393" s="256"/>
      <c r="D393" s="257"/>
      <c r="G393" s="257"/>
      <c r="H393" s="257"/>
    </row>
    <row r="394" spans="1:8" s="244" customFormat="1">
      <c r="A394" s="242"/>
      <c r="B394" s="256"/>
      <c r="D394" s="257"/>
      <c r="G394" s="257"/>
      <c r="H394" s="257"/>
    </row>
    <row r="395" spans="1:8" s="244" customFormat="1">
      <c r="A395" s="242"/>
      <c r="B395" s="256"/>
      <c r="D395" s="257"/>
      <c r="G395" s="257"/>
      <c r="H395" s="257"/>
    </row>
    <row r="396" spans="1:8" s="244" customFormat="1">
      <c r="A396" s="242"/>
      <c r="B396" s="256"/>
      <c r="D396" s="257"/>
      <c r="G396" s="257"/>
      <c r="H396" s="257"/>
    </row>
    <row r="397" spans="1:8" s="244" customFormat="1">
      <c r="A397" s="242"/>
      <c r="B397" s="256"/>
      <c r="D397" s="257"/>
      <c r="G397" s="257"/>
      <c r="H397" s="257"/>
    </row>
    <row r="398" spans="1:8" s="244" customFormat="1">
      <c r="A398" s="242"/>
      <c r="B398" s="256"/>
      <c r="D398" s="257"/>
      <c r="G398" s="257"/>
      <c r="H398" s="257"/>
    </row>
    <row r="399" spans="1:8" s="244" customFormat="1">
      <c r="A399" s="242"/>
      <c r="B399" s="256"/>
      <c r="D399" s="257"/>
      <c r="G399" s="257"/>
      <c r="H399" s="257"/>
    </row>
    <row r="400" spans="1:8" s="244" customFormat="1">
      <c r="A400" s="242"/>
      <c r="B400" s="256"/>
      <c r="D400" s="257"/>
      <c r="G400" s="257"/>
      <c r="H400" s="257"/>
    </row>
    <row r="401" spans="1:8" s="244" customFormat="1">
      <c r="A401" s="242"/>
      <c r="B401" s="256"/>
      <c r="D401" s="257"/>
      <c r="G401" s="257"/>
      <c r="H401" s="257"/>
    </row>
    <row r="402" spans="1:8" s="244" customFormat="1">
      <c r="A402" s="242"/>
      <c r="B402" s="256"/>
      <c r="D402" s="257"/>
      <c r="G402" s="257"/>
      <c r="H402" s="257"/>
    </row>
    <row r="403" spans="1:8" s="244" customFormat="1">
      <c r="A403" s="242"/>
      <c r="B403" s="256"/>
      <c r="D403" s="257"/>
      <c r="G403" s="257"/>
      <c r="H403" s="257"/>
    </row>
    <row r="404" spans="1:8" s="244" customFormat="1">
      <c r="A404" s="242"/>
      <c r="B404" s="256"/>
      <c r="D404" s="257"/>
      <c r="G404" s="257"/>
      <c r="H404" s="257"/>
    </row>
    <row r="405" spans="1:8" s="244" customFormat="1">
      <c r="A405" s="242"/>
      <c r="B405" s="256"/>
      <c r="D405" s="257"/>
      <c r="G405" s="257"/>
      <c r="H405" s="257"/>
    </row>
    <row r="406" spans="1:8" s="244" customFormat="1">
      <c r="A406" s="242"/>
      <c r="B406" s="256"/>
      <c r="D406" s="257"/>
      <c r="G406" s="257"/>
      <c r="H406" s="257"/>
    </row>
    <row r="407" spans="1:8" s="244" customFormat="1">
      <c r="A407" s="242"/>
      <c r="B407" s="256"/>
      <c r="D407" s="257"/>
      <c r="G407" s="257"/>
      <c r="H407" s="257"/>
    </row>
    <row r="408" spans="1:8" s="244" customFormat="1">
      <c r="A408" s="242"/>
      <c r="B408" s="256"/>
      <c r="D408" s="257"/>
      <c r="G408" s="257"/>
      <c r="H408" s="257"/>
    </row>
    <row r="409" spans="1:8" s="244" customFormat="1">
      <c r="A409" s="242"/>
      <c r="B409" s="256"/>
      <c r="D409" s="257"/>
      <c r="G409" s="257"/>
      <c r="H409" s="257"/>
    </row>
    <row r="410" spans="1:8" s="244" customFormat="1">
      <c r="A410" s="242"/>
      <c r="B410" s="256"/>
      <c r="D410" s="257"/>
      <c r="G410" s="257"/>
      <c r="H410" s="257"/>
    </row>
    <row r="411" spans="1:8" s="244" customFormat="1">
      <c r="A411" s="242"/>
      <c r="B411" s="256"/>
      <c r="D411" s="257"/>
      <c r="G411" s="257"/>
      <c r="H411" s="257"/>
    </row>
    <row r="412" spans="1:8" s="244" customFormat="1">
      <c r="A412" s="242"/>
      <c r="B412" s="256"/>
      <c r="D412" s="257"/>
      <c r="G412" s="257"/>
      <c r="H412" s="257"/>
    </row>
    <row r="413" spans="1:8" s="244" customFormat="1">
      <c r="A413" s="242"/>
      <c r="B413" s="256"/>
      <c r="D413" s="257"/>
      <c r="G413" s="257"/>
      <c r="H413" s="257"/>
    </row>
    <row r="414" spans="1:8" s="244" customFormat="1">
      <c r="A414" s="242"/>
      <c r="B414" s="256"/>
      <c r="D414" s="257"/>
      <c r="G414" s="257"/>
      <c r="H414" s="257"/>
    </row>
    <row r="415" spans="1:8" s="244" customFormat="1">
      <c r="A415" s="242"/>
      <c r="B415" s="256"/>
      <c r="D415" s="257"/>
      <c r="G415" s="257"/>
      <c r="H415" s="257"/>
    </row>
    <row r="416" spans="1:8" s="244" customFormat="1">
      <c r="A416" s="242"/>
      <c r="B416" s="256"/>
      <c r="D416" s="257"/>
      <c r="G416" s="257"/>
      <c r="H416" s="257"/>
    </row>
    <row r="417" spans="1:9" s="244" customFormat="1">
      <c r="A417" s="242"/>
      <c r="B417" s="256"/>
      <c r="D417" s="257"/>
      <c r="G417" s="257"/>
      <c r="H417" s="257"/>
    </row>
    <row r="418" spans="1:9">
      <c r="B418" s="256"/>
      <c r="C418" s="244"/>
      <c r="D418" s="257"/>
      <c r="E418" s="244"/>
      <c r="F418" s="244"/>
      <c r="G418" s="257"/>
      <c r="H418" s="257"/>
      <c r="I418" s="244"/>
    </row>
    <row r="419" spans="1:9">
      <c r="B419" s="256"/>
      <c r="C419" s="244"/>
      <c r="D419" s="257"/>
      <c r="E419" s="244"/>
      <c r="F419" s="244"/>
      <c r="G419" s="257"/>
      <c r="H419" s="257"/>
      <c r="I419" s="244"/>
    </row>
  </sheetData>
  <sheetProtection algorithmName="SHA-512" hashValue="ydXztd2QFEdXydyJvTjIJnjj+y1OH2twfQRKoL3gZDwzouEztvZP+32rXfi2VaZQovAUbHcuVxrKKdV5y3xZNA==" saltValue="TJx24XAlz+Pw5kuBmJFXxw==" spinCount="100000" sheet="1" objects="1" scenarios="1"/>
  <mergeCells count="11">
    <mergeCell ref="C24:C25"/>
    <mergeCell ref="D24:D25"/>
    <mergeCell ref="B18:E19"/>
    <mergeCell ref="F18:G18"/>
    <mergeCell ref="D13:E13"/>
    <mergeCell ref="D14:E14"/>
    <mergeCell ref="B1:F1"/>
    <mergeCell ref="B4:C4"/>
    <mergeCell ref="D11:E11"/>
    <mergeCell ref="B2:E3"/>
    <mergeCell ref="D12:E12"/>
  </mergeCells>
  <pageMargins left="0.47244094488188981" right="0.35433070866141736" top="0.83" bottom="0.73" header="0.49" footer="0.38"/>
  <pageSetup paperSize="9" scale="76" fitToHeight="0" orientation="landscape" horizontalDpi="4294967293" r:id="rId1"/>
  <headerFooter>
    <oddHeader>&amp;L&amp;"Arial,Fett"&amp;A&amp;C&amp;D&amp;R&amp;"Arial,Fett"UNIVERSITÄTSKLINIKUM AACHEN&amp;"Arial,Standard"
Geschäftsbereich Betriebe</oddHead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BS242"/>
  <sheetViews>
    <sheetView zoomScaleNormal="100" workbookViewId="0">
      <selection activeCell="A8" sqref="A8:XFD13"/>
    </sheetView>
  </sheetViews>
  <sheetFormatPr baseColWidth="10" defaultColWidth="11.44140625" defaultRowHeight="13.2" outlineLevelRow="1" outlineLevelCol="1"/>
  <cols>
    <col min="1" max="1" width="2" style="230" customWidth="1"/>
    <col min="2" max="2" width="20.33203125" style="81" customWidth="1"/>
    <col min="3" max="3" width="38.109375" style="80" bestFit="1" customWidth="1"/>
    <col min="4" max="5" width="11.44140625" style="81"/>
    <col min="6" max="6" width="11.5546875" style="81" customWidth="1"/>
    <col min="7" max="8" width="12.6640625" style="81" customWidth="1"/>
    <col min="9" max="9" width="11.5546875" style="81" customWidth="1" outlineLevel="1"/>
    <col min="10" max="11" width="12.6640625" style="81" customWidth="1" outlineLevel="1"/>
    <col min="12" max="13" width="12.6640625" style="81" customWidth="1"/>
    <col min="14" max="14" width="10.44140625" style="81" customWidth="1"/>
    <col min="15" max="15" width="12.88671875" style="81" customWidth="1"/>
    <col min="16" max="17" width="11.44140625" style="81"/>
    <col min="18" max="71" width="11.44140625" style="230"/>
    <col min="72" max="16384" width="11.44140625" style="81"/>
  </cols>
  <sheetData>
    <row r="1" spans="1:71" s="230" customFormat="1">
      <c r="C1" s="231"/>
    </row>
    <row r="2" spans="1:71" s="230" customFormat="1" ht="16.2" thickBot="1">
      <c r="B2" s="235" t="s">
        <v>179</v>
      </c>
      <c r="C2" s="231"/>
    </row>
    <row r="3" spans="1:71" s="86" customFormat="1" ht="27.75" customHeight="1" thickBot="1">
      <c r="A3" s="236"/>
      <c r="B3" s="236"/>
      <c r="C3" s="238"/>
      <c r="D3" s="236"/>
      <c r="E3" s="236"/>
      <c r="F3" s="363" t="s">
        <v>150</v>
      </c>
      <c r="G3" s="364"/>
      <c r="H3" s="365"/>
      <c r="I3" s="366" t="s">
        <v>151</v>
      </c>
      <c r="J3" s="367"/>
      <c r="K3" s="368"/>
      <c r="L3" s="369" t="s">
        <v>152</v>
      </c>
      <c r="M3" s="370"/>
      <c r="N3" s="371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</row>
    <row r="4" spans="1:71" ht="27" thickBot="1">
      <c r="B4" s="163" t="s">
        <v>172</v>
      </c>
      <c r="D4" s="130" t="s">
        <v>156</v>
      </c>
      <c r="E4" s="131" t="s">
        <v>155</v>
      </c>
      <c r="F4" s="132" t="s">
        <v>170</v>
      </c>
      <c r="G4" s="133" t="s">
        <v>171</v>
      </c>
      <c r="H4" s="134" t="s">
        <v>25</v>
      </c>
      <c r="I4" s="135" t="s">
        <v>22</v>
      </c>
      <c r="J4" s="136" t="s">
        <v>23</v>
      </c>
      <c r="K4" s="137" t="s">
        <v>25</v>
      </c>
      <c r="L4" s="138" t="s">
        <v>153</v>
      </c>
      <c r="M4" s="139" t="s">
        <v>23</v>
      </c>
      <c r="N4" s="140" t="s">
        <v>24</v>
      </c>
      <c r="O4" s="202" t="s">
        <v>174</v>
      </c>
      <c r="P4" s="160" t="s">
        <v>168</v>
      </c>
      <c r="Q4" s="161" t="s">
        <v>169</v>
      </c>
    </row>
    <row r="5" spans="1:71" s="141" customFormat="1" ht="5.25" customHeight="1" thickBot="1">
      <c r="A5" s="237"/>
      <c r="C5" s="142"/>
      <c r="D5" s="129"/>
      <c r="E5" s="129"/>
      <c r="F5" s="143"/>
      <c r="G5" s="144"/>
      <c r="H5" s="143"/>
      <c r="I5" s="143"/>
      <c r="J5" s="144"/>
      <c r="K5" s="143"/>
      <c r="L5" s="143"/>
      <c r="M5" s="144"/>
      <c r="N5" s="144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</row>
    <row r="6" spans="1:71" ht="32.25" customHeight="1" thickBot="1">
      <c r="B6" s="99" t="s">
        <v>175</v>
      </c>
      <c r="C6" s="163" t="s">
        <v>152</v>
      </c>
      <c r="D6" s="164">
        <f>SUM(D7:D13)</f>
        <v>12520.109999999997</v>
      </c>
      <c r="E6" s="98">
        <f t="shared" ref="E6:N6" si="0">SUM(E7:E13)</f>
        <v>8439.7100000000082</v>
      </c>
      <c r="F6" s="103">
        <f t="shared" si="0"/>
        <v>121842.24739285717</v>
      </c>
      <c r="G6" s="104" t="e">
        <f t="shared" si="0"/>
        <v>#DIV/0!</v>
      </c>
      <c r="H6" s="105" t="e">
        <f t="shared" si="0"/>
        <v>#DIV/0!</v>
      </c>
      <c r="I6" s="106">
        <f t="shared" si="0"/>
        <v>233.1333333333333</v>
      </c>
      <c r="J6" s="107" t="e">
        <f t="shared" si="0"/>
        <v>#DIV/0!</v>
      </c>
      <c r="K6" s="108" t="e">
        <f t="shared" si="0"/>
        <v>#DIV/0!</v>
      </c>
      <c r="L6" s="109">
        <f t="shared" si="0"/>
        <v>122075.3807261905</v>
      </c>
      <c r="M6" s="110" t="e">
        <f t="shared" si="0"/>
        <v>#DIV/0!</v>
      </c>
      <c r="N6" s="203" t="e">
        <f t="shared" si="0"/>
        <v>#DIV/0!</v>
      </c>
      <c r="O6" s="209" t="e">
        <f>L6/M6</f>
        <v>#DIV/0!</v>
      </c>
      <c r="P6" s="210" t="e">
        <f>N6/L6</f>
        <v>#DIV/0!</v>
      </c>
      <c r="Q6" s="211" t="e">
        <f>N6/M6</f>
        <v>#DIV/0!</v>
      </c>
    </row>
    <row r="7" spans="1:71" ht="18.75" customHeight="1" outlineLevel="1">
      <c r="B7" s="230"/>
      <c r="C7" s="177" t="s">
        <v>199</v>
      </c>
      <c r="D7" s="165">
        <f>IZDM!G4</f>
        <v>12520.109999999997</v>
      </c>
      <c r="E7" s="102">
        <f>IZDM!L4</f>
        <v>8439.7100000000082</v>
      </c>
      <c r="F7" s="100">
        <f>IZDM!O4</f>
        <v>121842.24739285717</v>
      </c>
      <c r="G7" s="91" t="e">
        <f>IZDM!R4</f>
        <v>#DIV/0!</v>
      </c>
      <c r="H7" s="92" t="e">
        <f>IZDM!S4</f>
        <v>#DIV/0!</v>
      </c>
      <c r="I7" s="93">
        <f>IZDM!U4</f>
        <v>233.1333333333333</v>
      </c>
      <c r="J7" s="94" t="e">
        <f>IZDM!X4</f>
        <v>#DIV/0!</v>
      </c>
      <c r="K7" s="95" t="e">
        <f>IZDM!Y4</f>
        <v>#DIV/0!</v>
      </c>
      <c r="L7" s="96">
        <f>IZDM!Z4</f>
        <v>122075.3807261905</v>
      </c>
      <c r="M7" s="97" t="e">
        <f>IZDM!AA4</f>
        <v>#DIV/0!</v>
      </c>
      <c r="N7" s="204" t="e">
        <f>IZDM!AB4</f>
        <v>#DIV/0!</v>
      </c>
      <c r="O7" s="212" t="e">
        <f t="shared" ref="O7" si="1">L7/M7</f>
        <v>#DIV/0!</v>
      </c>
      <c r="P7" s="208" t="e">
        <f t="shared" ref="P7" si="2">N7/L7</f>
        <v>#DIV/0!</v>
      </c>
      <c r="Q7" s="213" t="e">
        <f t="shared" ref="Q7" si="3">N7/M7</f>
        <v>#DIV/0!</v>
      </c>
    </row>
    <row r="8" spans="1:71" ht="18.75" customHeight="1" outlineLevel="1">
      <c r="B8" s="230"/>
      <c r="C8" s="301"/>
      <c r="D8" s="166"/>
      <c r="E8" s="82"/>
      <c r="F8" s="101"/>
      <c r="G8" s="83"/>
      <c r="H8" s="87"/>
      <c r="I8" s="88"/>
      <c r="J8" s="84"/>
      <c r="K8" s="89"/>
      <c r="L8" s="90"/>
      <c r="M8" s="85"/>
      <c r="N8" s="205"/>
      <c r="O8" s="214"/>
      <c r="P8" s="207"/>
      <c r="Q8" s="215"/>
    </row>
    <row r="9" spans="1:71" ht="18.75" customHeight="1" outlineLevel="1">
      <c r="B9" s="230"/>
      <c r="C9" s="301"/>
      <c r="D9" s="166"/>
      <c r="E9" s="82"/>
      <c r="F9" s="101"/>
      <c r="G9" s="83"/>
      <c r="H9" s="87"/>
      <c r="I9" s="88"/>
      <c r="J9" s="84"/>
      <c r="K9" s="89"/>
      <c r="L9" s="90"/>
      <c r="M9" s="85"/>
      <c r="N9" s="205"/>
      <c r="O9" s="214"/>
      <c r="P9" s="207"/>
      <c r="Q9" s="215"/>
    </row>
    <row r="10" spans="1:71" ht="18.75" customHeight="1" outlineLevel="1">
      <c r="B10" s="230"/>
      <c r="C10" s="301"/>
      <c r="D10" s="166"/>
      <c r="E10" s="82"/>
      <c r="F10" s="101"/>
      <c r="G10" s="83"/>
      <c r="H10" s="87"/>
      <c r="I10" s="88"/>
      <c r="J10" s="84"/>
      <c r="K10" s="89"/>
      <c r="L10" s="90"/>
      <c r="M10" s="85"/>
      <c r="N10" s="205"/>
      <c r="O10" s="214"/>
      <c r="P10" s="207"/>
      <c r="Q10" s="215"/>
    </row>
    <row r="11" spans="1:71" ht="18.75" customHeight="1" outlineLevel="1">
      <c r="B11" s="230"/>
      <c r="C11" s="301"/>
      <c r="D11" s="166"/>
      <c r="E11" s="82"/>
      <c r="F11" s="101"/>
      <c r="G11" s="83"/>
      <c r="H11" s="87"/>
      <c r="I11" s="88"/>
      <c r="J11" s="84"/>
      <c r="K11" s="89"/>
      <c r="L11" s="90"/>
      <c r="M11" s="85"/>
      <c r="N11" s="205"/>
      <c r="O11" s="214"/>
      <c r="P11" s="207"/>
      <c r="Q11" s="215"/>
    </row>
    <row r="12" spans="1:71" ht="18.75" customHeight="1" outlineLevel="1">
      <c r="B12" s="230"/>
      <c r="C12" s="301"/>
      <c r="D12" s="166"/>
      <c r="E12" s="82"/>
      <c r="F12" s="101"/>
      <c r="G12" s="83"/>
      <c r="H12" s="87"/>
      <c r="I12" s="88"/>
      <c r="J12" s="84"/>
      <c r="K12" s="89"/>
      <c r="L12" s="90"/>
      <c r="M12" s="85"/>
      <c r="N12" s="205"/>
      <c r="O12" s="214"/>
      <c r="P12" s="207"/>
      <c r="Q12" s="215"/>
    </row>
    <row r="13" spans="1:71" ht="18.75" customHeight="1" outlineLevel="1" thickBot="1">
      <c r="B13" s="230"/>
      <c r="C13" s="302"/>
      <c r="D13" s="167"/>
      <c r="E13" s="168"/>
      <c r="F13" s="169"/>
      <c r="G13" s="170"/>
      <c r="H13" s="171"/>
      <c r="I13" s="172"/>
      <c r="J13" s="173"/>
      <c r="K13" s="174"/>
      <c r="L13" s="175"/>
      <c r="M13" s="176"/>
      <c r="N13" s="206"/>
      <c r="O13" s="216"/>
      <c r="P13" s="217"/>
      <c r="Q13" s="218"/>
    </row>
    <row r="14" spans="1:71" s="230" customFormat="1"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</row>
    <row r="15" spans="1:71" s="230" customFormat="1">
      <c r="C15" s="352">
        <f>Deckblatt!$B$20</f>
        <v>0</v>
      </c>
      <c r="D15" s="354"/>
      <c r="E15" s="354"/>
    </row>
    <row r="16" spans="1:71" s="230" customFormat="1" ht="13.8" thickBot="1">
      <c r="C16" s="372"/>
      <c r="D16" s="354"/>
      <c r="E16" s="372"/>
    </row>
    <row r="17" spans="3:5" s="230" customFormat="1" ht="13.8">
      <c r="C17" s="233" t="s">
        <v>188</v>
      </c>
      <c r="D17" s="233"/>
      <c r="E17" s="233">
        <f>Deckblatt!$B$10</f>
        <v>0</v>
      </c>
    </row>
    <row r="18" spans="3:5" s="230" customFormat="1" ht="13.8">
      <c r="C18" s="234"/>
      <c r="D18" s="234"/>
      <c r="E18" s="234">
        <f>Deckblatt!$B$12</f>
        <v>0</v>
      </c>
    </row>
    <row r="19" spans="3:5" s="230" customFormat="1">
      <c r="C19" s="231"/>
    </row>
    <row r="20" spans="3:5" s="230" customFormat="1">
      <c r="C20" s="231"/>
    </row>
    <row r="21" spans="3:5" s="230" customFormat="1">
      <c r="C21" s="231"/>
    </row>
    <row r="22" spans="3:5" s="230" customFormat="1">
      <c r="C22" s="231"/>
    </row>
    <row r="23" spans="3:5" s="230" customFormat="1">
      <c r="C23" s="231"/>
    </row>
    <row r="24" spans="3:5" s="230" customFormat="1">
      <c r="C24" s="231"/>
    </row>
    <row r="25" spans="3:5" s="230" customFormat="1">
      <c r="C25" s="231"/>
    </row>
    <row r="26" spans="3:5" s="230" customFormat="1">
      <c r="C26" s="231"/>
    </row>
    <row r="27" spans="3:5" s="230" customFormat="1">
      <c r="C27" s="231"/>
    </row>
    <row r="28" spans="3:5" s="230" customFormat="1">
      <c r="C28" s="231"/>
    </row>
    <row r="29" spans="3:5" s="230" customFormat="1">
      <c r="C29" s="231"/>
    </row>
    <row r="30" spans="3:5" s="230" customFormat="1">
      <c r="C30" s="231"/>
    </row>
    <row r="31" spans="3:5" s="230" customFormat="1">
      <c r="C31" s="231"/>
    </row>
    <row r="32" spans="3:5" s="230" customFormat="1">
      <c r="C32" s="231"/>
    </row>
    <row r="33" spans="3:3" s="230" customFormat="1">
      <c r="C33" s="231"/>
    </row>
    <row r="34" spans="3:3" s="230" customFormat="1">
      <c r="C34" s="231"/>
    </row>
    <row r="35" spans="3:3" s="230" customFormat="1">
      <c r="C35" s="231"/>
    </row>
    <row r="36" spans="3:3" s="230" customFormat="1">
      <c r="C36" s="231"/>
    </row>
    <row r="37" spans="3:3" s="230" customFormat="1">
      <c r="C37" s="231"/>
    </row>
    <row r="38" spans="3:3" s="230" customFormat="1">
      <c r="C38" s="231"/>
    </row>
    <row r="39" spans="3:3" s="230" customFormat="1">
      <c r="C39" s="231"/>
    </row>
    <row r="40" spans="3:3" s="230" customFormat="1">
      <c r="C40" s="231"/>
    </row>
    <row r="41" spans="3:3" s="230" customFormat="1">
      <c r="C41" s="231"/>
    </row>
    <row r="42" spans="3:3" s="230" customFormat="1">
      <c r="C42" s="231"/>
    </row>
    <row r="43" spans="3:3" s="230" customFormat="1">
      <c r="C43" s="231"/>
    </row>
    <row r="44" spans="3:3" s="230" customFormat="1">
      <c r="C44" s="231"/>
    </row>
    <row r="45" spans="3:3" s="230" customFormat="1">
      <c r="C45" s="231"/>
    </row>
    <row r="46" spans="3:3" s="230" customFormat="1">
      <c r="C46" s="231"/>
    </row>
    <row r="47" spans="3:3" s="230" customFormat="1">
      <c r="C47" s="231"/>
    </row>
    <row r="48" spans="3:3" s="230" customFormat="1">
      <c r="C48" s="231"/>
    </row>
    <row r="49" spans="3:3" s="230" customFormat="1">
      <c r="C49" s="231"/>
    </row>
    <row r="50" spans="3:3" s="230" customFormat="1">
      <c r="C50" s="231"/>
    </row>
    <row r="51" spans="3:3" s="230" customFormat="1">
      <c r="C51" s="231"/>
    </row>
    <row r="52" spans="3:3" s="230" customFormat="1">
      <c r="C52" s="231"/>
    </row>
    <row r="53" spans="3:3" s="230" customFormat="1">
      <c r="C53" s="231"/>
    </row>
    <row r="54" spans="3:3" s="230" customFormat="1">
      <c r="C54" s="231"/>
    </row>
    <row r="55" spans="3:3" s="230" customFormat="1">
      <c r="C55" s="231"/>
    </row>
    <row r="56" spans="3:3" s="230" customFormat="1">
      <c r="C56" s="231"/>
    </row>
    <row r="57" spans="3:3" s="230" customFormat="1">
      <c r="C57" s="231"/>
    </row>
    <row r="58" spans="3:3" s="230" customFormat="1">
      <c r="C58" s="231"/>
    </row>
    <row r="59" spans="3:3" s="230" customFormat="1">
      <c r="C59" s="231"/>
    </row>
    <row r="60" spans="3:3" s="230" customFormat="1">
      <c r="C60" s="231"/>
    </row>
    <row r="61" spans="3:3" s="230" customFormat="1">
      <c r="C61" s="231"/>
    </row>
    <row r="62" spans="3:3" s="230" customFormat="1">
      <c r="C62" s="231"/>
    </row>
    <row r="63" spans="3:3" s="230" customFormat="1">
      <c r="C63" s="231"/>
    </row>
    <row r="64" spans="3:3" s="230" customFormat="1">
      <c r="C64" s="231"/>
    </row>
    <row r="65" spans="3:3" s="230" customFormat="1">
      <c r="C65" s="231"/>
    </row>
    <row r="66" spans="3:3" s="230" customFormat="1">
      <c r="C66" s="231"/>
    </row>
    <row r="67" spans="3:3" s="230" customFormat="1">
      <c r="C67" s="231"/>
    </row>
    <row r="68" spans="3:3" s="230" customFormat="1">
      <c r="C68" s="231"/>
    </row>
    <row r="69" spans="3:3" s="230" customFormat="1">
      <c r="C69" s="231"/>
    </row>
    <row r="70" spans="3:3" s="230" customFormat="1">
      <c r="C70" s="231"/>
    </row>
    <row r="71" spans="3:3" s="230" customFormat="1">
      <c r="C71" s="231"/>
    </row>
    <row r="72" spans="3:3" s="230" customFormat="1">
      <c r="C72" s="231"/>
    </row>
    <row r="73" spans="3:3" s="230" customFormat="1">
      <c r="C73" s="231"/>
    </row>
    <row r="74" spans="3:3" s="230" customFormat="1">
      <c r="C74" s="231"/>
    </row>
    <row r="75" spans="3:3" s="230" customFormat="1">
      <c r="C75" s="231"/>
    </row>
    <row r="76" spans="3:3" s="230" customFormat="1">
      <c r="C76" s="231"/>
    </row>
    <row r="77" spans="3:3" s="230" customFormat="1">
      <c r="C77" s="231"/>
    </row>
    <row r="78" spans="3:3" s="230" customFormat="1">
      <c r="C78" s="231"/>
    </row>
    <row r="79" spans="3:3" s="230" customFormat="1">
      <c r="C79" s="231"/>
    </row>
    <row r="80" spans="3:3" s="230" customFormat="1">
      <c r="C80" s="231"/>
    </row>
    <row r="81" spans="3:3" s="230" customFormat="1">
      <c r="C81" s="231"/>
    </row>
    <row r="82" spans="3:3" s="230" customFormat="1">
      <c r="C82" s="231"/>
    </row>
    <row r="83" spans="3:3" s="230" customFormat="1">
      <c r="C83" s="231"/>
    </row>
    <row r="84" spans="3:3" s="230" customFormat="1">
      <c r="C84" s="231"/>
    </row>
    <row r="85" spans="3:3" s="230" customFormat="1">
      <c r="C85" s="231"/>
    </row>
    <row r="86" spans="3:3" s="230" customFormat="1">
      <c r="C86" s="231"/>
    </row>
    <row r="87" spans="3:3" s="230" customFormat="1">
      <c r="C87" s="231"/>
    </row>
    <row r="88" spans="3:3" s="230" customFormat="1">
      <c r="C88" s="231"/>
    </row>
    <row r="89" spans="3:3" s="230" customFormat="1">
      <c r="C89" s="231"/>
    </row>
    <row r="90" spans="3:3" s="230" customFormat="1">
      <c r="C90" s="231"/>
    </row>
    <row r="91" spans="3:3" s="230" customFormat="1">
      <c r="C91" s="231"/>
    </row>
    <row r="92" spans="3:3" s="230" customFormat="1">
      <c r="C92" s="231"/>
    </row>
    <row r="93" spans="3:3" s="230" customFormat="1">
      <c r="C93" s="231"/>
    </row>
    <row r="94" spans="3:3" s="230" customFormat="1">
      <c r="C94" s="231"/>
    </row>
    <row r="95" spans="3:3" s="230" customFormat="1">
      <c r="C95" s="231"/>
    </row>
    <row r="96" spans="3:3" s="230" customFormat="1">
      <c r="C96" s="231"/>
    </row>
    <row r="97" spans="3:3" s="230" customFormat="1">
      <c r="C97" s="231"/>
    </row>
    <row r="98" spans="3:3" s="230" customFormat="1">
      <c r="C98" s="231"/>
    </row>
    <row r="99" spans="3:3" s="230" customFormat="1">
      <c r="C99" s="231"/>
    </row>
    <row r="100" spans="3:3" s="230" customFormat="1">
      <c r="C100" s="231"/>
    </row>
    <row r="101" spans="3:3" s="230" customFormat="1">
      <c r="C101" s="231"/>
    </row>
    <row r="102" spans="3:3" s="230" customFormat="1">
      <c r="C102" s="231"/>
    </row>
    <row r="103" spans="3:3" s="230" customFormat="1">
      <c r="C103" s="231"/>
    </row>
    <row r="104" spans="3:3" s="230" customFormat="1">
      <c r="C104" s="231"/>
    </row>
    <row r="105" spans="3:3" s="230" customFormat="1">
      <c r="C105" s="231"/>
    </row>
    <row r="106" spans="3:3" s="230" customFormat="1">
      <c r="C106" s="231"/>
    </row>
    <row r="107" spans="3:3" s="230" customFormat="1">
      <c r="C107" s="231"/>
    </row>
    <row r="108" spans="3:3" s="230" customFormat="1">
      <c r="C108" s="231"/>
    </row>
    <row r="109" spans="3:3" s="230" customFormat="1">
      <c r="C109" s="231"/>
    </row>
    <row r="110" spans="3:3" s="230" customFormat="1">
      <c r="C110" s="231"/>
    </row>
    <row r="111" spans="3:3" s="230" customFormat="1">
      <c r="C111" s="231"/>
    </row>
    <row r="112" spans="3:3" s="230" customFormat="1">
      <c r="C112" s="231"/>
    </row>
    <row r="113" spans="3:3" s="230" customFormat="1">
      <c r="C113" s="231"/>
    </row>
    <row r="114" spans="3:3" s="230" customFormat="1">
      <c r="C114" s="231"/>
    </row>
    <row r="115" spans="3:3" s="230" customFormat="1">
      <c r="C115" s="231"/>
    </row>
    <row r="116" spans="3:3" s="230" customFormat="1">
      <c r="C116" s="231"/>
    </row>
    <row r="117" spans="3:3" s="230" customFormat="1">
      <c r="C117" s="231"/>
    </row>
    <row r="118" spans="3:3" s="230" customFormat="1">
      <c r="C118" s="231"/>
    </row>
    <row r="119" spans="3:3" s="230" customFormat="1">
      <c r="C119" s="231"/>
    </row>
    <row r="120" spans="3:3" s="230" customFormat="1">
      <c r="C120" s="231"/>
    </row>
    <row r="121" spans="3:3" s="230" customFormat="1">
      <c r="C121" s="231"/>
    </row>
    <row r="122" spans="3:3" s="230" customFormat="1">
      <c r="C122" s="231"/>
    </row>
    <row r="123" spans="3:3" s="230" customFormat="1">
      <c r="C123" s="231"/>
    </row>
    <row r="124" spans="3:3" s="230" customFormat="1">
      <c r="C124" s="231"/>
    </row>
    <row r="125" spans="3:3" s="230" customFormat="1">
      <c r="C125" s="231"/>
    </row>
    <row r="126" spans="3:3" s="230" customFormat="1">
      <c r="C126" s="231"/>
    </row>
    <row r="127" spans="3:3" s="230" customFormat="1">
      <c r="C127" s="231"/>
    </row>
    <row r="128" spans="3:3" s="230" customFormat="1">
      <c r="C128" s="231"/>
    </row>
    <row r="129" spans="3:3" s="230" customFormat="1">
      <c r="C129" s="231"/>
    </row>
    <row r="130" spans="3:3" s="230" customFormat="1">
      <c r="C130" s="231"/>
    </row>
    <row r="131" spans="3:3" s="230" customFormat="1">
      <c r="C131" s="231"/>
    </row>
    <row r="132" spans="3:3" s="230" customFormat="1">
      <c r="C132" s="231"/>
    </row>
    <row r="133" spans="3:3" s="230" customFormat="1">
      <c r="C133" s="231"/>
    </row>
    <row r="134" spans="3:3" s="230" customFormat="1">
      <c r="C134" s="231"/>
    </row>
    <row r="135" spans="3:3" s="230" customFormat="1">
      <c r="C135" s="231"/>
    </row>
    <row r="136" spans="3:3" s="230" customFormat="1">
      <c r="C136" s="231"/>
    </row>
    <row r="137" spans="3:3" s="230" customFormat="1">
      <c r="C137" s="231"/>
    </row>
    <row r="138" spans="3:3" s="230" customFormat="1">
      <c r="C138" s="231"/>
    </row>
    <row r="139" spans="3:3" s="230" customFormat="1">
      <c r="C139" s="231"/>
    </row>
    <row r="140" spans="3:3" s="230" customFormat="1">
      <c r="C140" s="231"/>
    </row>
    <row r="141" spans="3:3" s="230" customFormat="1">
      <c r="C141" s="231"/>
    </row>
    <row r="142" spans="3:3" s="230" customFormat="1">
      <c r="C142" s="231"/>
    </row>
    <row r="143" spans="3:3" s="230" customFormat="1">
      <c r="C143" s="231"/>
    </row>
    <row r="144" spans="3:3" s="230" customFormat="1">
      <c r="C144" s="231"/>
    </row>
    <row r="145" spans="3:3" s="230" customFormat="1">
      <c r="C145" s="231"/>
    </row>
    <row r="146" spans="3:3" s="230" customFormat="1">
      <c r="C146" s="231"/>
    </row>
    <row r="147" spans="3:3" s="230" customFormat="1">
      <c r="C147" s="231"/>
    </row>
    <row r="148" spans="3:3" s="230" customFormat="1">
      <c r="C148" s="231"/>
    </row>
    <row r="149" spans="3:3" s="230" customFormat="1">
      <c r="C149" s="231"/>
    </row>
    <row r="150" spans="3:3" s="230" customFormat="1">
      <c r="C150" s="231"/>
    </row>
    <row r="151" spans="3:3" s="230" customFormat="1">
      <c r="C151" s="231"/>
    </row>
    <row r="152" spans="3:3" s="230" customFormat="1">
      <c r="C152" s="231"/>
    </row>
    <row r="153" spans="3:3" s="230" customFormat="1">
      <c r="C153" s="231"/>
    </row>
    <row r="154" spans="3:3" s="230" customFormat="1">
      <c r="C154" s="231"/>
    </row>
    <row r="155" spans="3:3" s="230" customFormat="1">
      <c r="C155" s="231"/>
    </row>
    <row r="156" spans="3:3" s="230" customFormat="1">
      <c r="C156" s="231"/>
    </row>
    <row r="157" spans="3:3" s="230" customFormat="1">
      <c r="C157" s="231"/>
    </row>
    <row r="158" spans="3:3" s="230" customFormat="1">
      <c r="C158" s="231"/>
    </row>
    <row r="159" spans="3:3" s="230" customFormat="1">
      <c r="C159" s="231"/>
    </row>
    <row r="160" spans="3:3" s="230" customFormat="1">
      <c r="C160" s="231"/>
    </row>
    <row r="161" spans="3:3" s="230" customFormat="1">
      <c r="C161" s="231"/>
    </row>
    <row r="162" spans="3:3" s="230" customFormat="1">
      <c r="C162" s="231"/>
    </row>
    <row r="163" spans="3:3" s="230" customFormat="1">
      <c r="C163" s="231"/>
    </row>
    <row r="164" spans="3:3" s="230" customFormat="1">
      <c r="C164" s="231"/>
    </row>
    <row r="165" spans="3:3" s="230" customFormat="1">
      <c r="C165" s="231"/>
    </row>
    <row r="166" spans="3:3" s="230" customFormat="1">
      <c r="C166" s="231"/>
    </row>
    <row r="167" spans="3:3" s="230" customFormat="1">
      <c r="C167" s="231"/>
    </row>
    <row r="168" spans="3:3" s="230" customFormat="1">
      <c r="C168" s="231"/>
    </row>
    <row r="169" spans="3:3" s="230" customFormat="1">
      <c r="C169" s="231"/>
    </row>
    <row r="170" spans="3:3" s="230" customFormat="1">
      <c r="C170" s="231"/>
    </row>
    <row r="171" spans="3:3" s="230" customFormat="1">
      <c r="C171" s="231"/>
    </row>
    <row r="172" spans="3:3" s="230" customFormat="1">
      <c r="C172" s="231"/>
    </row>
    <row r="173" spans="3:3" s="230" customFormat="1">
      <c r="C173" s="231"/>
    </row>
    <row r="174" spans="3:3" s="230" customFormat="1">
      <c r="C174" s="231"/>
    </row>
    <row r="175" spans="3:3" s="230" customFormat="1">
      <c r="C175" s="231"/>
    </row>
    <row r="176" spans="3:3" s="230" customFormat="1">
      <c r="C176" s="231"/>
    </row>
    <row r="177" spans="3:3" s="230" customFormat="1">
      <c r="C177" s="231"/>
    </row>
    <row r="178" spans="3:3" s="230" customFormat="1">
      <c r="C178" s="231"/>
    </row>
    <row r="179" spans="3:3" s="230" customFormat="1">
      <c r="C179" s="231"/>
    </row>
    <row r="180" spans="3:3" s="230" customFormat="1">
      <c r="C180" s="231"/>
    </row>
    <row r="181" spans="3:3" s="230" customFormat="1">
      <c r="C181" s="231"/>
    </row>
    <row r="182" spans="3:3" s="230" customFormat="1">
      <c r="C182" s="231"/>
    </row>
    <row r="183" spans="3:3" s="230" customFormat="1">
      <c r="C183" s="231"/>
    </row>
    <row r="184" spans="3:3" s="230" customFormat="1">
      <c r="C184" s="231"/>
    </row>
    <row r="185" spans="3:3" s="230" customFormat="1">
      <c r="C185" s="231"/>
    </row>
    <row r="186" spans="3:3" s="230" customFormat="1">
      <c r="C186" s="231"/>
    </row>
    <row r="187" spans="3:3" s="230" customFormat="1">
      <c r="C187" s="231"/>
    </row>
    <row r="188" spans="3:3" s="230" customFormat="1">
      <c r="C188" s="231"/>
    </row>
    <row r="189" spans="3:3" s="230" customFormat="1">
      <c r="C189" s="231"/>
    </row>
    <row r="190" spans="3:3" s="230" customFormat="1">
      <c r="C190" s="231"/>
    </row>
    <row r="191" spans="3:3" s="230" customFormat="1">
      <c r="C191" s="231"/>
    </row>
    <row r="192" spans="3:3" s="230" customFormat="1">
      <c r="C192" s="231"/>
    </row>
    <row r="193" spans="3:3" s="230" customFormat="1">
      <c r="C193" s="231"/>
    </row>
    <row r="194" spans="3:3" s="230" customFormat="1">
      <c r="C194" s="231"/>
    </row>
    <row r="195" spans="3:3" s="230" customFormat="1">
      <c r="C195" s="231"/>
    </row>
    <row r="196" spans="3:3" s="230" customFormat="1">
      <c r="C196" s="231"/>
    </row>
    <row r="197" spans="3:3" s="230" customFormat="1">
      <c r="C197" s="231"/>
    </row>
    <row r="198" spans="3:3" s="230" customFormat="1">
      <c r="C198" s="231"/>
    </row>
    <row r="199" spans="3:3" s="230" customFormat="1">
      <c r="C199" s="231"/>
    </row>
    <row r="200" spans="3:3" s="230" customFormat="1">
      <c r="C200" s="231"/>
    </row>
    <row r="201" spans="3:3" s="230" customFormat="1">
      <c r="C201" s="231"/>
    </row>
    <row r="202" spans="3:3" s="230" customFormat="1">
      <c r="C202" s="231"/>
    </row>
    <row r="203" spans="3:3" s="230" customFormat="1">
      <c r="C203" s="231"/>
    </row>
    <row r="204" spans="3:3" s="230" customFormat="1">
      <c r="C204" s="231"/>
    </row>
    <row r="205" spans="3:3" s="230" customFormat="1">
      <c r="C205" s="231"/>
    </row>
    <row r="206" spans="3:3" s="230" customFormat="1">
      <c r="C206" s="231"/>
    </row>
    <row r="207" spans="3:3" s="230" customFormat="1">
      <c r="C207" s="231"/>
    </row>
    <row r="208" spans="3:3" s="230" customFormat="1">
      <c r="C208" s="231"/>
    </row>
    <row r="209" spans="3:3" s="230" customFormat="1">
      <c r="C209" s="231"/>
    </row>
    <row r="210" spans="3:3" s="230" customFormat="1">
      <c r="C210" s="231"/>
    </row>
    <row r="211" spans="3:3" s="230" customFormat="1">
      <c r="C211" s="231"/>
    </row>
    <row r="212" spans="3:3" s="230" customFormat="1">
      <c r="C212" s="231"/>
    </row>
    <row r="213" spans="3:3" s="230" customFormat="1">
      <c r="C213" s="231"/>
    </row>
    <row r="214" spans="3:3" s="230" customFormat="1">
      <c r="C214" s="231"/>
    </row>
    <row r="215" spans="3:3" s="230" customFormat="1">
      <c r="C215" s="231"/>
    </row>
    <row r="216" spans="3:3" s="230" customFormat="1">
      <c r="C216" s="231"/>
    </row>
    <row r="217" spans="3:3" s="230" customFormat="1">
      <c r="C217" s="231"/>
    </row>
    <row r="218" spans="3:3" s="230" customFormat="1">
      <c r="C218" s="231"/>
    </row>
    <row r="219" spans="3:3" s="230" customFormat="1">
      <c r="C219" s="231"/>
    </row>
    <row r="220" spans="3:3" s="230" customFormat="1">
      <c r="C220" s="231"/>
    </row>
    <row r="221" spans="3:3" s="230" customFormat="1">
      <c r="C221" s="231"/>
    </row>
    <row r="222" spans="3:3" s="230" customFormat="1">
      <c r="C222" s="231"/>
    </row>
    <row r="223" spans="3:3" s="230" customFormat="1">
      <c r="C223" s="231"/>
    </row>
    <row r="224" spans="3:3" s="230" customFormat="1">
      <c r="C224" s="231"/>
    </row>
    <row r="225" spans="3:3" s="230" customFormat="1">
      <c r="C225" s="231"/>
    </row>
    <row r="226" spans="3:3" s="230" customFormat="1">
      <c r="C226" s="231"/>
    </row>
    <row r="227" spans="3:3" s="230" customFormat="1">
      <c r="C227" s="231"/>
    </row>
    <row r="228" spans="3:3" s="230" customFormat="1">
      <c r="C228" s="231"/>
    </row>
    <row r="229" spans="3:3" s="230" customFormat="1">
      <c r="C229" s="231"/>
    </row>
    <row r="230" spans="3:3" s="230" customFormat="1">
      <c r="C230" s="231"/>
    </row>
    <row r="231" spans="3:3" s="230" customFormat="1">
      <c r="C231" s="231"/>
    </row>
    <row r="232" spans="3:3" s="230" customFormat="1">
      <c r="C232" s="231"/>
    </row>
    <row r="233" spans="3:3" s="230" customFormat="1">
      <c r="C233" s="231"/>
    </row>
    <row r="234" spans="3:3" s="230" customFormat="1">
      <c r="C234" s="231"/>
    </row>
    <row r="235" spans="3:3" s="230" customFormat="1">
      <c r="C235" s="231"/>
    </row>
    <row r="236" spans="3:3" s="230" customFormat="1">
      <c r="C236" s="231"/>
    </row>
    <row r="237" spans="3:3" s="230" customFormat="1">
      <c r="C237" s="231"/>
    </row>
    <row r="238" spans="3:3" s="230" customFormat="1">
      <c r="C238" s="231"/>
    </row>
    <row r="239" spans="3:3" s="230" customFormat="1">
      <c r="C239" s="231"/>
    </row>
    <row r="240" spans="3:3" s="230" customFormat="1">
      <c r="C240" s="231"/>
    </row>
    <row r="241" spans="3:3" s="230" customFormat="1">
      <c r="C241" s="231"/>
    </row>
    <row r="242" spans="3:3" s="230" customFormat="1">
      <c r="C242" s="231"/>
    </row>
  </sheetData>
  <mergeCells count="6">
    <mergeCell ref="F3:H3"/>
    <mergeCell ref="I3:K3"/>
    <mergeCell ref="L3:N3"/>
    <mergeCell ref="C15:C16"/>
    <mergeCell ref="D15:D16"/>
    <mergeCell ref="E15:E16"/>
  </mergeCells>
  <printOptions horizontalCentered="1"/>
  <pageMargins left="0.31496062992125984" right="0.27559055118110237" top="0.78740157480314965" bottom="0.78740157480314965" header="0.31496062992125984" footer="0.31496062992125984"/>
  <pageSetup paperSize="9" scale="60" orientation="landscape" horizontalDpi="4294967293" verticalDpi="0" r:id="rId1"/>
  <headerFooter>
    <oddHeader>&amp;L&amp;"Arial,Fett"&amp;A&amp;C&amp;D&amp;R&amp;"Arial,Fett"UNIVERSITÄTSKLINIKUM AACHEN&amp;"Arial,Standard"
Geschäftsbereich Betriebe</oddHead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G410"/>
  <sheetViews>
    <sheetView zoomScale="110" zoomScaleNormal="110" zoomScaleSheetLayoutView="100" workbookViewId="0">
      <pane xSplit="1" ySplit="4" topLeftCell="I5" activePane="bottomRight" state="frozen"/>
      <selection activeCell="A2" sqref="A2:E2"/>
      <selection pane="topRight" activeCell="A2" sqref="A2:E2"/>
      <selection pane="bottomLeft" activeCell="A2" sqref="A2:E2"/>
      <selection pane="bottomRight" activeCell="P379" sqref="P5:P379"/>
    </sheetView>
  </sheetViews>
  <sheetFormatPr baseColWidth="10" defaultColWidth="11.44140625" defaultRowHeight="13.2"/>
  <cols>
    <col min="1" max="1" width="5.109375" style="24" customWidth="1"/>
    <col min="2" max="2" width="11.6640625" style="24" bestFit="1" customWidth="1"/>
    <col min="3" max="3" width="6.109375" style="24" customWidth="1"/>
    <col min="4" max="4" width="21.44140625" style="24" customWidth="1"/>
    <col min="5" max="5" width="8" style="24" hidden="1" customWidth="1"/>
    <col min="6" max="6" width="8.109375" style="25" customWidth="1"/>
    <col min="7" max="7" width="10.109375" style="25" customWidth="1"/>
    <col min="8" max="8" width="22" style="25" customWidth="1"/>
    <col min="9" max="9" width="13.5546875" style="25" bestFit="1" customWidth="1"/>
    <col min="10" max="10" width="5.6640625" style="25" customWidth="1"/>
    <col min="11" max="11" width="5.109375" style="25" customWidth="1"/>
    <col min="12" max="12" width="9.44140625" style="25" customWidth="1"/>
    <col min="13" max="13" width="5.6640625" style="25" customWidth="1"/>
    <col min="14" max="14" width="6.6640625" style="25" customWidth="1"/>
    <col min="15" max="15" width="9.5546875" style="25" customWidth="1"/>
    <col min="16" max="16" width="6.5546875" style="25" customWidth="1"/>
    <col min="17" max="18" width="8.109375" style="25" customWidth="1"/>
    <col min="19" max="19" width="12.33203125" style="25" customWidth="1"/>
    <col min="20" max="20" width="6.109375" style="25" customWidth="1"/>
    <col min="21" max="21" width="9.6640625" style="25" customWidth="1"/>
    <col min="22" max="22" width="6.6640625" style="25" customWidth="1"/>
    <col min="23" max="24" width="8.109375" style="25" customWidth="1"/>
    <col min="25" max="25" width="11.77734375" style="25" customWidth="1"/>
    <col min="26" max="26" width="10.109375" style="25" customWidth="1"/>
    <col min="27" max="27" width="9.5546875" style="24" customWidth="1"/>
    <col min="28" max="28" width="14.109375" style="24" bestFit="1" customWidth="1"/>
    <col min="29" max="29" width="23.109375" style="25" customWidth="1"/>
    <col min="30" max="16384" width="11.44140625" style="25"/>
  </cols>
  <sheetData>
    <row r="1" spans="1:33" s="8" customFormat="1" ht="22.5" customHeight="1" thickBot="1">
      <c r="A1" s="34" t="s">
        <v>267</v>
      </c>
      <c r="B1" s="1"/>
      <c r="C1" s="5"/>
      <c r="D1" s="5"/>
      <c r="E1" s="1"/>
      <c r="F1" s="6"/>
      <c r="G1" s="6"/>
      <c r="H1" s="7"/>
      <c r="K1" s="30"/>
      <c r="L1" s="30"/>
      <c r="M1" s="5"/>
      <c r="N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30"/>
      <c r="AB1" s="30"/>
      <c r="AC1" s="31"/>
      <c r="AG1" s="30"/>
    </row>
    <row r="2" spans="1:33" s="8" customFormat="1" ht="22.5" customHeight="1">
      <c r="A2" s="34"/>
      <c r="B2" s="1"/>
      <c r="C2" s="5"/>
      <c r="D2" s="5"/>
      <c r="E2" s="1"/>
      <c r="F2" s="6"/>
      <c r="G2" s="6"/>
      <c r="H2" s="7"/>
      <c r="K2" s="30"/>
      <c r="L2" s="30"/>
      <c r="M2" s="5"/>
      <c r="N2" s="373" t="s">
        <v>26</v>
      </c>
      <c r="O2" s="374"/>
      <c r="P2" s="374"/>
      <c r="Q2" s="374"/>
      <c r="R2" s="374"/>
      <c r="S2" s="375"/>
      <c r="T2" s="376" t="s">
        <v>27</v>
      </c>
      <c r="U2" s="377"/>
      <c r="V2" s="377"/>
      <c r="W2" s="377"/>
      <c r="X2" s="377"/>
      <c r="Y2" s="378"/>
      <c r="Z2" s="379" t="s">
        <v>152</v>
      </c>
      <c r="AA2" s="380"/>
      <c r="AB2" s="381"/>
      <c r="AC2" s="31"/>
      <c r="AG2" s="30"/>
    </row>
    <row r="3" spans="1:33" s="32" customFormat="1" ht="30.6">
      <c r="A3" s="9" t="s">
        <v>18</v>
      </c>
      <c r="B3" s="10" t="s">
        <v>7</v>
      </c>
      <c r="C3" s="10" t="s">
        <v>8</v>
      </c>
      <c r="D3" s="10" t="s">
        <v>4</v>
      </c>
      <c r="E3" s="10" t="s">
        <v>13</v>
      </c>
      <c r="F3" s="10" t="s">
        <v>6</v>
      </c>
      <c r="G3" s="10" t="s">
        <v>19</v>
      </c>
      <c r="H3" s="10" t="s">
        <v>5</v>
      </c>
      <c r="I3" s="10" t="s">
        <v>9</v>
      </c>
      <c r="J3" s="10" t="s">
        <v>3</v>
      </c>
      <c r="K3" s="2" t="s">
        <v>12</v>
      </c>
      <c r="L3" s="2" t="s">
        <v>157</v>
      </c>
      <c r="M3" s="10" t="s">
        <v>10</v>
      </c>
      <c r="N3" s="111" t="s">
        <v>11</v>
      </c>
      <c r="O3" s="112" t="s">
        <v>22</v>
      </c>
      <c r="P3" s="113" t="s">
        <v>20</v>
      </c>
      <c r="Q3" s="112" t="s">
        <v>21</v>
      </c>
      <c r="R3" s="114" t="s">
        <v>23</v>
      </c>
      <c r="S3" s="115" t="s">
        <v>25</v>
      </c>
      <c r="T3" s="119" t="s">
        <v>11</v>
      </c>
      <c r="U3" s="116" t="s">
        <v>22</v>
      </c>
      <c r="V3" s="117" t="s">
        <v>20</v>
      </c>
      <c r="W3" s="116" t="s">
        <v>21</v>
      </c>
      <c r="X3" s="118" t="s">
        <v>23</v>
      </c>
      <c r="Y3" s="120" t="s">
        <v>25</v>
      </c>
      <c r="Z3" s="124" t="s">
        <v>154</v>
      </c>
      <c r="AA3" s="125" t="s">
        <v>23</v>
      </c>
      <c r="AB3" s="126" t="s">
        <v>24</v>
      </c>
      <c r="AC3" s="121" t="s">
        <v>17</v>
      </c>
    </row>
    <row r="4" spans="1:33" ht="15" customHeight="1" thickBot="1">
      <c r="A4" s="428"/>
      <c r="B4" s="428"/>
      <c r="C4" s="429"/>
      <c r="D4" s="430"/>
      <c r="E4" s="428"/>
      <c r="F4" s="431"/>
      <c r="G4" s="432">
        <f>SUBTOTAL(9,G5:G404)</f>
        <v>12520.109999999997</v>
      </c>
      <c r="H4" s="433"/>
      <c r="I4" s="434"/>
      <c r="J4" s="430"/>
      <c r="K4" s="430"/>
      <c r="L4" s="432">
        <f>SUBTOTAL(9,L5:L404)</f>
        <v>8439.7100000000082</v>
      </c>
      <c r="M4" s="430"/>
      <c r="N4" s="435"/>
      <c r="O4" s="436">
        <f>SUBTOTAL(9,O5:O404)</f>
        <v>121842.24739285717</v>
      </c>
      <c r="P4" s="437"/>
      <c r="Q4" s="438"/>
      <c r="R4" s="436" t="e">
        <f>SUBTOTAL(9,R5:R404)</f>
        <v>#DIV/0!</v>
      </c>
      <c r="S4" s="444" t="e">
        <f>SUBTOTAL(9,S5:S404)</f>
        <v>#DIV/0!</v>
      </c>
      <c r="T4" s="439"/>
      <c r="U4" s="436">
        <f>SUBTOTAL(9,U5:U404)</f>
        <v>233.1333333333333</v>
      </c>
      <c r="V4" s="438"/>
      <c r="W4" s="438"/>
      <c r="X4" s="436" t="e">
        <f>SUBTOTAL(9,X5:X404)</f>
        <v>#DIV/0!</v>
      </c>
      <c r="Y4" s="444" t="e">
        <f>SUBTOTAL(9,Y5:Y404)</f>
        <v>#DIV/0!</v>
      </c>
      <c r="Z4" s="440">
        <f>SUBTOTAL(9,Z5:Z404)</f>
        <v>122075.3807261905</v>
      </c>
      <c r="AA4" s="441" t="e">
        <f>SUBTOTAL(9,AA5:AA404)</f>
        <v>#DIV/0!</v>
      </c>
      <c r="AB4" s="443" t="e">
        <f>SUBTOTAL(9,AB5:AB404)</f>
        <v>#DIV/0!</v>
      </c>
      <c r="AC4" s="442" t="e">
        <f>Z4/AA4</f>
        <v>#DIV/0!</v>
      </c>
    </row>
    <row r="5" spans="1:33" ht="12" customHeight="1">
      <c r="A5" s="11">
        <v>1</v>
      </c>
      <c r="B5" s="12" t="s">
        <v>271</v>
      </c>
      <c r="C5" s="12">
        <v>-2</v>
      </c>
      <c r="D5" s="19" t="s">
        <v>272</v>
      </c>
      <c r="E5" s="12"/>
      <c r="F5" s="18" t="s">
        <v>273</v>
      </c>
      <c r="G5" s="318">
        <v>69.599999999999994</v>
      </c>
      <c r="H5" s="13" t="s">
        <v>274</v>
      </c>
      <c r="I5" s="14" t="s">
        <v>275</v>
      </c>
      <c r="J5" s="15" t="s">
        <v>259</v>
      </c>
      <c r="K5" s="12" t="s">
        <v>14</v>
      </c>
      <c r="L5" s="318">
        <f t="shared" ref="L5:L17" si="0">IF(K5="NV","",G5)</f>
        <v>69.599999999999994</v>
      </c>
      <c r="M5" s="16" t="s">
        <v>123</v>
      </c>
      <c r="N5" s="78">
        <f>IF(K5="NV","",IF(VLOOKUP(M5,'R_Häufigkeit_Faktoren UHR'!$B$4:$I$24,7,FALSE)=0,"",VLOOKUP(M5,'R_Häufigkeit_Faktoren UHR'!$B$4:$I$24,7,FALSE)))</f>
        <v>1</v>
      </c>
      <c r="O5" s="3">
        <f>IF(N5="","",N5*L5)</f>
        <v>69.599999999999994</v>
      </c>
      <c r="P5" s="325"/>
      <c r="Q5" s="156">
        <f>IF(N5="","",VLOOKUP(J5,Raumgruppen_Leistungswerte!$B$5:$F$35,5,FALSE))</f>
        <v>0</v>
      </c>
      <c r="R5" s="157" t="e">
        <f>IF(N5="","",L5/Q5*N5)</f>
        <v>#DIV/0!</v>
      </c>
      <c r="S5" s="445" t="e">
        <f t="shared" ref="S5" si="1">IF(K5="NV","",R5*P5)</f>
        <v>#DIV/0!</v>
      </c>
      <c r="T5" s="78" t="str">
        <f>IF(K5="NV","",IF(VLOOKUP(M5,'R_Häufigkeit_Faktoren UHR'!$B$4:$I$24,8,FALSE)=0,"",VLOOKUP(M5,'R_Häufigkeit_Faktoren UHR'!$B$4:$I$24,8,FALSE)))</f>
        <v/>
      </c>
      <c r="U5" s="156" t="str">
        <f>IF(T5="","",T5*L5)</f>
        <v/>
      </c>
      <c r="V5" s="427"/>
      <c r="W5" s="12" t="str">
        <f>IF(T5="","",VLOOKUP(J5,Raumgruppen_Leistungswerte!$B$5:$F$35,5,FALSE))</f>
        <v/>
      </c>
      <c r="X5" s="156" t="str">
        <f>IF(T5="","",L5/W5*T5)</f>
        <v/>
      </c>
      <c r="Y5" s="446" t="str">
        <f>IF(T5="","",X5*V5)</f>
        <v/>
      </c>
      <c r="Z5" s="158">
        <f t="shared" ref="Z5:Z404" si="2">IF(U5="",O5,O5+U5)</f>
        <v>69.599999999999994</v>
      </c>
      <c r="AA5" s="23" t="e">
        <f>IF(X5="",R5,X5+R5)</f>
        <v>#DIV/0!</v>
      </c>
      <c r="AB5" s="445" t="e">
        <f>IF(Y5="",S5,S5+Y5)</f>
        <v>#DIV/0!</v>
      </c>
      <c r="AC5" s="122"/>
    </row>
    <row r="6" spans="1:33" ht="12" customHeight="1">
      <c r="A6" s="11">
        <v>2</v>
      </c>
      <c r="B6" s="12" t="s">
        <v>271</v>
      </c>
      <c r="C6" s="17">
        <v>-2</v>
      </c>
      <c r="D6" s="19" t="s">
        <v>272</v>
      </c>
      <c r="E6" s="17"/>
      <c r="F6" s="18" t="s">
        <v>276</v>
      </c>
      <c r="G6" s="319">
        <v>34.700000000000003</v>
      </c>
      <c r="H6" s="19" t="s">
        <v>277</v>
      </c>
      <c r="I6" s="14" t="s">
        <v>275</v>
      </c>
      <c r="J6" s="21" t="s">
        <v>251</v>
      </c>
      <c r="K6" s="12" t="s">
        <v>14</v>
      </c>
      <c r="L6" s="319">
        <f t="shared" si="0"/>
        <v>34.700000000000003</v>
      </c>
      <c r="M6" s="22">
        <v>1</v>
      </c>
      <c r="N6" s="78">
        <f>IF(K6="NV","",IF(VLOOKUP(M6,'R_Häufigkeit_Faktoren UHR'!$B$4:$I$24,7,FALSE)=0,"",VLOOKUP(M6,'R_Häufigkeit_Faktoren UHR'!$B$4:$I$24,7,FALSE)))</f>
        <v>4.3452380952380958</v>
      </c>
      <c r="O6" s="3">
        <f t="shared" ref="O6:O69" si="3">IF(N6="","",N6*L6)</f>
        <v>150.77976190476193</v>
      </c>
      <c r="P6" s="325"/>
      <c r="Q6" s="156">
        <f>IF(N6="","",VLOOKUP(J6,Raumgruppen_Leistungswerte!$B$5:$F$35,5,FALSE))</f>
        <v>0</v>
      </c>
      <c r="R6" s="157" t="e">
        <f t="shared" ref="R6:R69" si="4">IF(N6="","",L6/Q6*N6)</f>
        <v>#DIV/0!</v>
      </c>
      <c r="S6" s="445" t="e">
        <f t="shared" ref="S6:S69" si="5">IF(K6="NV","",R6*P6)</f>
        <v>#DIV/0!</v>
      </c>
      <c r="T6" s="78" t="str">
        <f>IF(K6="NV","",IF(VLOOKUP(M6,'R_Häufigkeit_Faktoren UHR'!$B$4:$I$24,8,FALSE)=0,"",VLOOKUP(M6,'R_Häufigkeit_Faktoren UHR'!$B$4:$I$24,8,FALSE)))</f>
        <v/>
      </c>
      <c r="U6" s="156" t="str">
        <f t="shared" ref="U6:U69" si="6">IF(T6="","",T6*L6)</f>
        <v/>
      </c>
      <c r="V6" s="427"/>
      <c r="W6" s="12" t="str">
        <f>IF(T6="","",VLOOKUP(J6,Raumgruppen_Leistungswerte!$B$5:$F$35,5,FALSE))</f>
        <v/>
      </c>
      <c r="X6" s="156" t="str">
        <f t="shared" ref="X6:X69" si="7">IF(T6="","",L6/W6*T6)</f>
        <v/>
      </c>
      <c r="Y6" s="446" t="str">
        <f t="shared" ref="Y6:Y69" si="8">IF(T6="","",X6*V6)</f>
        <v/>
      </c>
      <c r="Z6" s="158">
        <f t="shared" si="2"/>
        <v>150.77976190476193</v>
      </c>
      <c r="AA6" s="23" t="e">
        <f t="shared" ref="AA6:AA404" si="9">IF(X6="",R6,X6+R6)</f>
        <v>#DIV/0!</v>
      </c>
      <c r="AB6" s="445" t="e">
        <f t="shared" ref="AB6:AB404" si="10">IF(Y6="",S6,S6+Y6)</f>
        <v>#DIV/0!</v>
      </c>
      <c r="AC6" s="123"/>
    </row>
    <row r="7" spans="1:33" ht="12" customHeight="1">
      <c r="A7" s="11">
        <v>3</v>
      </c>
      <c r="B7" s="12" t="s">
        <v>271</v>
      </c>
      <c r="C7" s="17">
        <v>-2</v>
      </c>
      <c r="D7" s="19" t="s">
        <v>272</v>
      </c>
      <c r="E7" s="17"/>
      <c r="F7" s="18" t="s">
        <v>278</v>
      </c>
      <c r="G7" s="319">
        <v>14.7</v>
      </c>
      <c r="H7" s="19" t="s">
        <v>279</v>
      </c>
      <c r="I7" s="14" t="s">
        <v>275</v>
      </c>
      <c r="J7" s="21" t="s">
        <v>238</v>
      </c>
      <c r="K7" s="12" t="s">
        <v>14</v>
      </c>
      <c r="L7" s="319">
        <f t="shared" si="0"/>
        <v>14.7</v>
      </c>
      <c r="M7" s="22">
        <v>3</v>
      </c>
      <c r="N7" s="78">
        <f>IF(K7="NV","",IF(VLOOKUP(M7,'R_Häufigkeit_Faktoren UHR'!$B$4:$I$24,7,FALSE)=0,"",VLOOKUP(M7,'R_Häufigkeit_Faktoren UHR'!$B$4:$I$24,7,FALSE)))</f>
        <v>13.035714285714286</v>
      </c>
      <c r="O7" s="3">
        <f t="shared" si="3"/>
        <v>191.625</v>
      </c>
      <c r="P7" s="325"/>
      <c r="Q7" s="156">
        <f>IF(N7="","",VLOOKUP(J7,Raumgruppen_Leistungswerte!$B$5:$F$35,5,FALSE))</f>
        <v>0</v>
      </c>
      <c r="R7" s="157" t="e">
        <f t="shared" si="4"/>
        <v>#DIV/0!</v>
      </c>
      <c r="S7" s="445" t="e">
        <f t="shared" si="5"/>
        <v>#DIV/0!</v>
      </c>
      <c r="T7" s="78" t="str">
        <f>IF(K7="NV","",IF(VLOOKUP(M7,'R_Häufigkeit_Faktoren UHR'!$B$4:$I$24,8,FALSE)=0,"",VLOOKUP(M7,'R_Häufigkeit_Faktoren UHR'!$B$4:$I$24,8,FALSE)))</f>
        <v/>
      </c>
      <c r="U7" s="156" t="str">
        <f t="shared" si="6"/>
        <v/>
      </c>
      <c r="V7" s="427"/>
      <c r="W7" s="12" t="str">
        <f>IF(T7="","",VLOOKUP(J7,Raumgruppen_Leistungswerte!$B$5:$F$35,5,FALSE))</f>
        <v/>
      </c>
      <c r="X7" s="156" t="str">
        <f t="shared" si="7"/>
        <v/>
      </c>
      <c r="Y7" s="446" t="str">
        <f t="shared" si="8"/>
        <v/>
      </c>
      <c r="Z7" s="158">
        <f t="shared" si="2"/>
        <v>191.625</v>
      </c>
      <c r="AA7" s="23" t="e">
        <f t="shared" si="9"/>
        <v>#DIV/0!</v>
      </c>
      <c r="AB7" s="445" t="e">
        <f t="shared" si="10"/>
        <v>#DIV/0!</v>
      </c>
      <c r="AC7" s="123"/>
    </row>
    <row r="8" spans="1:33" ht="12" customHeight="1">
      <c r="A8" s="11">
        <v>4</v>
      </c>
      <c r="B8" s="12" t="s">
        <v>271</v>
      </c>
      <c r="C8" s="17">
        <v>-2</v>
      </c>
      <c r="D8" s="19" t="s">
        <v>272</v>
      </c>
      <c r="E8" s="17"/>
      <c r="F8" s="18" t="s">
        <v>280</v>
      </c>
      <c r="G8" s="319">
        <v>53.7</v>
      </c>
      <c r="H8" s="19" t="s">
        <v>281</v>
      </c>
      <c r="I8" s="14" t="s">
        <v>282</v>
      </c>
      <c r="J8" s="21" t="s">
        <v>2</v>
      </c>
      <c r="K8" s="12" t="s">
        <v>173</v>
      </c>
      <c r="L8" s="333" t="str">
        <f t="shared" si="0"/>
        <v/>
      </c>
      <c r="M8" s="22"/>
      <c r="N8" s="78" t="str">
        <f>IF(K8="NV","",IF(VLOOKUP(M8,'R_Häufigkeit_Faktoren UHR'!$B$4:$I$24,7,FALSE)=0,"",VLOOKUP(M8,'R_Häufigkeit_Faktoren UHR'!$B$4:$I$24,7,FALSE)))</f>
        <v/>
      </c>
      <c r="O8" s="3" t="str">
        <f t="shared" si="3"/>
        <v/>
      </c>
      <c r="P8" s="325"/>
      <c r="Q8" s="156" t="str">
        <f>IF(N8="","",VLOOKUP(J8,Raumgruppen_Leistungswerte!$B$5:$F$35,5,FALSE))</f>
        <v/>
      </c>
      <c r="R8" s="157" t="str">
        <f t="shared" si="4"/>
        <v/>
      </c>
      <c r="S8" s="445" t="str">
        <f t="shared" si="5"/>
        <v/>
      </c>
      <c r="T8" s="78" t="str">
        <f>IF(K8="NV","",IF(VLOOKUP(M8,'R_Häufigkeit_Faktoren UHR'!$B$4:$I$24,8,FALSE)=0,"",VLOOKUP(M8,'R_Häufigkeit_Faktoren UHR'!$B$4:$I$24,8,FALSE)))</f>
        <v/>
      </c>
      <c r="U8" s="156" t="str">
        <f t="shared" si="6"/>
        <v/>
      </c>
      <c r="V8" s="427"/>
      <c r="W8" s="12" t="str">
        <f>IF(T8="","",VLOOKUP(J8,Raumgruppen_Leistungswerte!$B$5:$F$35,5,FALSE))</f>
        <v/>
      </c>
      <c r="X8" s="156" t="str">
        <f t="shared" si="7"/>
        <v/>
      </c>
      <c r="Y8" s="446" t="str">
        <f t="shared" si="8"/>
        <v/>
      </c>
      <c r="Z8" s="158" t="str">
        <f t="shared" si="2"/>
        <v/>
      </c>
      <c r="AA8" s="23" t="str">
        <f t="shared" si="9"/>
        <v/>
      </c>
      <c r="AB8" s="445" t="str">
        <f t="shared" si="10"/>
        <v/>
      </c>
      <c r="AC8" s="123"/>
    </row>
    <row r="9" spans="1:33" ht="12" customHeight="1">
      <c r="A9" s="11">
        <v>5</v>
      </c>
      <c r="B9" s="12" t="s">
        <v>271</v>
      </c>
      <c r="C9" s="17">
        <v>-2</v>
      </c>
      <c r="D9" s="19" t="s">
        <v>272</v>
      </c>
      <c r="E9" s="17"/>
      <c r="F9" s="18" t="s">
        <v>283</v>
      </c>
      <c r="G9" s="319" t="s">
        <v>284</v>
      </c>
      <c r="H9" s="19" t="s">
        <v>285</v>
      </c>
      <c r="I9" s="20" t="s">
        <v>275</v>
      </c>
      <c r="J9" s="21" t="s">
        <v>286</v>
      </c>
      <c r="K9" s="12" t="s">
        <v>173</v>
      </c>
      <c r="L9" s="319" t="str">
        <f t="shared" si="0"/>
        <v/>
      </c>
      <c r="M9" s="22"/>
      <c r="N9" s="78" t="str">
        <f>IF(K9="NV","",IF(VLOOKUP(M9,'R_Häufigkeit_Faktoren UHR'!$B$4:$I$24,7,FALSE)=0,"",VLOOKUP(M9,'R_Häufigkeit_Faktoren UHR'!$B$4:$I$24,7,FALSE)))</f>
        <v/>
      </c>
      <c r="O9" s="3" t="str">
        <f t="shared" si="3"/>
        <v/>
      </c>
      <c r="P9" s="325"/>
      <c r="Q9" s="156" t="str">
        <f>IF(N9="","",VLOOKUP(J9,Raumgruppen_Leistungswerte!$B$5:$F$35,5,FALSE))</f>
        <v/>
      </c>
      <c r="R9" s="157" t="str">
        <f t="shared" si="4"/>
        <v/>
      </c>
      <c r="S9" s="445" t="str">
        <f t="shared" si="5"/>
        <v/>
      </c>
      <c r="T9" s="78" t="str">
        <f>IF(K9="NV","",IF(VLOOKUP(M9,'R_Häufigkeit_Faktoren UHR'!$B$4:$I$24,8,FALSE)=0,"",VLOOKUP(M9,'R_Häufigkeit_Faktoren UHR'!$B$4:$I$24,8,FALSE)))</f>
        <v/>
      </c>
      <c r="U9" s="156" t="str">
        <f t="shared" si="6"/>
        <v/>
      </c>
      <c r="V9" s="427"/>
      <c r="W9" s="12" t="str">
        <f>IF(T9="","",VLOOKUP(J9,Raumgruppen_Leistungswerte!$B$5:$F$35,5,FALSE))</f>
        <v/>
      </c>
      <c r="X9" s="156" t="str">
        <f t="shared" si="7"/>
        <v/>
      </c>
      <c r="Y9" s="446" t="str">
        <f t="shared" si="8"/>
        <v/>
      </c>
      <c r="Z9" s="158" t="str">
        <f t="shared" si="2"/>
        <v/>
      </c>
      <c r="AA9" s="23" t="str">
        <f t="shared" si="9"/>
        <v/>
      </c>
      <c r="AB9" s="445" t="str">
        <f t="shared" si="10"/>
        <v/>
      </c>
      <c r="AC9" s="123"/>
    </row>
    <row r="10" spans="1:33" ht="12" customHeight="1">
      <c r="A10" s="11">
        <v>6</v>
      </c>
      <c r="B10" s="12" t="s">
        <v>271</v>
      </c>
      <c r="C10" s="17">
        <v>-2</v>
      </c>
      <c r="D10" s="19" t="s">
        <v>287</v>
      </c>
      <c r="E10" s="17"/>
      <c r="F10" s="18" t="s">
        <v>288</v>
      </c>
      <c r="G10" s="319">
        <v>31.4</v>
      </c>
      <c r="H10" s="19" t="s">
        <v>287</v>
      </c>
      <c r="I10" s="20" t="s">
        <v>275</v>
      </c>
      <c r="J10" s="21" t="s">
        <v>286</v>
      </c>
      <c r="K10" s="12" t="s">
        <v>173</v>
      </c>
      <c r="L10" s="319" t="str">
        <f t="shared" si="0"/>
        <v/>
      </c>
      <c r="M10" s="22"/>
      <c r="N10" s="78" t="str">
        <f>IF(K10="NV","",IF(VLOOKUP(M10,'R_Häufigkeit_Faktoren UHR'!$B$4:$I$24,7,FALSE)=0,"",VLOOKUP(M10,'R_Häufigkeit_Faktoren UHR'!$B$4:$I$24,7,FALSE)))</f>
        <v/>
      </c>
      <c r="O10" s="3" t="str">
        <f t="shared" si="3"/>
        <v/>
      </c>
      <c r="P10" s="325"/>
      <c r="Q10" s="156" t="str">
        <f>IF(N10="","",VLOOKUP(J10,Raumgruppen_Leistungswerte!$B$5:$F$35,5,FALSE))</f>
        <v/>
      </c>
      <c r="R10" s="157" t="str">
        <f t="shared" si="4"/>
        <v/>
      </c>
      <c r="S10" s="445" t="str">
        <f t="shared" si="5"/>
        <v/>
      </c>
      <c r="T10" s="78" t="str">
        <f>IF(K10="NV","",IF(VLOOKUP(M10,'R_Häufigkeit_Faktoren UHR'!$B$4:$I$24,8,FALSE)=0,"",VLOOKUP(M10,'R_Häufigkeit_Faktoren UHR'!$B$4:$I$24,8,FALSE)))</f>
        <v/>
      </c>
      <c r="U10" s="156" t="str">
        <f t="shared" si="6"/>
        <v/>
      </c>
      <c r="V10" s="427"/>
      <c r="W10" s="12" t="str">
        <f>IF(T10="","",VLOOKUP(J10,Raumgruppen_Leistungswerte!$B$5:$F$35,5,FALSE))</f>
        <v/>
      </c>
      <c r="X10" s="156" t="str">
        <f t="shared" si="7"/>
        <v/>
      </c>
      <c r="Y10" s="446" t="str">
        <f t="shared" si="8"/>
        <v/>
      </c>
      <c r="Z10" s="158" t="str">
        <f t="shared" si="2"/>
        <v/>
      </c>
      <c r="AA10" s="23" t="str">
        <f t="shared" si="9"/>
        <v/>
      </c>
      <c r="AB10" s="445" t="str">
        <f t="shared" si="10"/>
        <v/>
      </c>
      <c r="AC10" s="123"/>
    </row>
    <row r="11" spans="1:33" ht="12" customHeight="1">
      <c r="A11" s="11">
        <v>7</v>
      </c>
      <c r="B11" s="12" t="s">
        <v>271</v>
      </c>
      <c r="C11" s="17">
        <v>-2</v>
      </c>
      <c r="D11" s="19" t="s">
        <v>272</v>
      </c>
      <c r="E11" s="17"/>
      <c r="F11" s="18" t="s">
        <v>289</v>
      </c>
      <c r="G11" s="319">
        <v>41.6</v>
      </c>
      <c r="H11" s="19" t="s">
        <v>281</v>
      </c>
      <c r="I11" s="14" t="s">
        <v>282</v>
      </c>
      <c r="J11" s="21" t="s">
        <v>2</v>
      </c>
      <c r="K11" s="12" t="s">
        <v>173</v>
      </c>
      <c r="L11" s="333" t="str">
        <f t="shared" si="0"/>
        <v/>
      </c>
      <c r="M11" s="22"/>
      <c r="N11" s="78" t="str">
        <f>IF(K11="NV","",IF(VLOOKUP(M11,'R_Häufigkeit_Faktoren UHR'!$B$4:$I$24,7,FALSE)=0,"",VLOOKUP(M11,'R_Häufigkeit_Faktoren UHR'!$B$4:$I$24,7,FALSE)))</f>
        <v/>
      </c>
      <c r="O11" s="3" t="str">
        <f t="shared" si="3"/>
        <v/>
      </c>
      <c r="P11" s="325"/>
      <c r="Q11" s="156" t="str">
        <f>IF(N11="","",VLOOKUP(J11,Raumgruppen_Leistungswerte!$B$5:$F$35,5,FALSE))</f>
        <v/>
      </c>
      <c r="R11" s="157" t="str">
        <f t="shared" si="4"/>
        <v/>
      </c>
      <c r="S11" s="445" t="str">
        <f t="shared" si="5"/>
        <v/>
      </c>
      <c r="T11" s="78" t="str">
        <f>IF(K11="NV","",IF(VLOOKUP(M11,'R_Häufigkeit_Faktoren UHR'!$B$4:$I$24,8,FALSE)=0,"",VLOOKUP(M11,'R_Häufigkeit_Faktoren UHR'!$B$4:$I$24,8,FALSE)))</f>
        <v/>
      </c>
      <c r="U11" s="156" t="str">
        <f t="shared" si="6"/>
        <v/>
      </c>
      <c r="V11" s="427"/>
      <c r="W11" s="12" t="str">
        <f>IF(T11="","",VLOOKUP(J11,Raumgruppen_Leistungswerte!$B$5:$F$35,5,FALSE))</f>
        <v/>
      </c>
      <c r="X11" s="156" t="str">
        <f t="shared" si="7"/>
        <v/>
      </c>
      <c r="Y11" s="446" t="str">
        <f t="shared" si="8"/>
        <v/>
      </c>
      <c r="Z11" s="158" t="str">
        <f t="shared" si="2"/>
        <v/>
      </c>
      <c r="AA11" s="23" t="str">
        <f t="shared" si="9"/>
        <v/>
      </c>
      <c r="AB11" s="445" t="str">
        <f t="shared" si="10"/>
        <v/>
      </c>
      <c r="AC11" s="123"/>
    </row>
    <row r="12" spans="1:33" ht="12" customHeight="1">
      <c r="A12" s="11">
        <v>8</v>
      </c>
      <c r="B12" s="12" t="s">
        <v>271</v>
      </c>
      <c r="C12" s="17">
        <v>-2</v>
      </c>
      <c r="D12" s="19" t="s">
        <v>287</v>
      </c>
      <c r="E12" s="17"/>
      <c r="F12" s="18" t="s">
        <v>290</v>
      </c>
      <c r="G12" s="319">
        <v>14.2</v>
      </c>
      <c r="H12" s="19" t="s">
        <v>291</v>
      </c>
      <c r="I12" s="14" t="s">
        <v>275</v>
      </c>
      <c r="J12" s="21" t="s">
        <v>286</v>
      </c>
      <c r="K12" s="12" t="s">
        <v>173</v>
      </c>
      <c r="L12" s="319" t="str">
        <f t="shared" si="0"/>
        <v/>
      </c>
      <c r="M12" s="22"/>
      <c r="N12" s="78" t="str">
        <f>IF(K12="NV","",IF(VLOOKUP(M12,'R_Häufigkeit_Faktoren UHR'!$B$4:$I$24,7,FALSE)=0,"",VLOOKUP(M12,'R_Häufigkeit_Faktoren UHR'!$B$4:$I$24,7,FALSE)))</f>
        <v/>
      </c>
      <c r="O12" s="3" t="str">
        <f t="shared" si="3"/>
        <v/>
      </c>
      <c r="P12" s="325"/>
      <c r="Q12" s="156" t="str">
        <f>IF(N12="","",VLOOKUP(J12,Raumgruppen_Leistungswerte!$B$5:$F$35,5,FALSE))</f>
        <v/>
      </c>
      <c r="R12" s="157" t="str">
        <f t="shared" si="4"/>
        <v/>
      </c>
      <c r="S12" s="445" t="str">
        <f t="shared" si="5"/>
        <v/>
      </c>
      <c r="T12" s="78" t="str">
        <f>IF(K12="NV","",IF(VLOOKUP(M12,'R_Häufigkeit_Faktoren UHR'!$B$4:$I$24,8,FALSE)=0,"",VLOOKUP(M12,'R_Häufigkeit_Faktoren UHR'!$B$4:$I$24,8,FALSE)))</f>
        <v/>
      </c>
      <c r="U12" s="156" t="str">
        <f t="shared" si="6"/>
        <v/>
      </c>
      <c r="V12" s="427"/>
      <c r="W12" s="12" t="str">
        <f>IF(T12="","",VLOOKUP(J12,Raumgruppen_Leistungswerte!$B$5:$F$35,5,FALSE))</f>
        <v/>
      </c>
      <c r="X12" s="156" t="str">
        <f t="shared" si="7"/>
        <v/>
      </c>
      <c r="Y12" s="446" t="str">
        <f t="shared" si="8"/>
        <v/>
      </c>
      <c r="Z12" s="158" t="str">
        <f t="shared" si="2"/>
        <v/>
      </c>
      <c r="AA12" s="23" t="str">
        <f t="shared" si="9"/>
        <v/>
      </c>
      <c r="AB12" s="445" t="str">
        <f t="shared" si="10"/>
        <v/>
      </c>
      <c r="AC12" s="123"/>
    </row>
    <row r="13" spans="1:33" ht="12" customHeight="1">
      <c r="A13" s="11">
        <v>9</v>
      </c>
      <c r="B13" s="12" t="s">
        <v>271</v>
      </c>
      <c r="C13" s="17">
        <v>-2</v>
      </c>
      <c r="D13" s="19" t="s">
        <v>287</v>
      </c>
      <c r="E13" s="17"/>
      <c r="F13" s="18" t="s">
        <v>292</v>
      </c>
      <c r="G13" s="319">
        <v>213.9</v>
      </c>
      <c r="H13" s="19" t="s">
        <v>293</v>
      </c>
      <c r="I13" s="14" t="s">
        <v>275</v>
      </c>
      <c r="J13" s="21" t="s">
        <v>286</v>
      </c>
      <c r="K13" s="12" t="s">
        <v>173</v>
      </c>
      <c r="L13" s="319" t="str">
        <f t="shared" si="0"/>
        <v/>
      </c>
      <c r="M13" s="22"/>
      <c r="N13" s="78" t="str">
        <f>IF(K13="NV","",IF(VLOOKUP(M13,'R_Häufigkeit_Faktoren UHR'!$B$4:$I$24,7,FALSE)=0,"",VLOOKUP(M13,'R_Häufigkeit_Faktoren UHR'!$B$4:$I$24,7,FALSE)))</f>
        <v/>
      </c>
      <c r="O13" s="3" t="str">
        <f t="shared" si="3"/>
        <v/>
      </c>
      <c r="P13" s="325"/>
      <c r="Q13" s="156" t="str">
        <f>IF(N13="","",VLOOKUP(J13,Raumgruppen_Leistungswerte!$B$5:$F$35,5,FALSE))</f>
        <v/>
      </c>
      <c r="R13" s="157" t="str">
        <f t="shared" si="4"/>
        <v/>
      </c>
      <c r="S13" s="445" t="str">
        <f t="shared" si="5"/>
        <v/>
      </c>
      <c r="T13" s="78" t="str">
        <f>IF(K13="NV","",IF(VLOOKUP(M13,'R_Häufigkeit_Faktoren UHR'!$B$4:$I$24,8,FALSE)=0,"",VLOOKUP(M13,'R_Häufigkeit_Faktoren UHR'!$B$4:$I$24,8,FALSE)))</f>
        <v/>
      </c>
      <c r="U13" s="156" t="str">
        <f t="shared" si="6"/>
        <v/>
      </c>
      <c r="V13" s="427"/>
      <c r="W13" s="12" t="str">
        <f>IF(T13="","",VLOOKUP(J13,Raumgruppen_Leistungswerte!$B$5:$F$35,5,FALSE))</f>
        <v/>
      </c>
      <c r="X13" s="156" t="str">
        <f t="shared" si="7"/>
        <v/>
      </c>
      <c r="Y13" s="446" t="str">
        <f t="shared" si="8"/>
        <v/>
      </c>
      <c r="Z13" s="158" t="str">
        <f t="shared" si="2"/>
        <v/>
      </c>
      <c r="AA13" s="23" t="str">
        <f t="shared" si="9"/>
        <v/>
      </c>
      <c r="AB13" s="445" t="str">
        <f t="shared" si="10"/>
        <v/>
      </c>
      <c r="AC13" s="123"/>
    </row>
    <row r="14" spans="1:33" ht="12" customHeight="1">
      <c r="A14" s="11">
        <v>10</v>
      </c>
      <c r="B14" s="12" t="s">
        <v>271</v>
      </c>
      <c r="C14" s="17">
        <v>-2</v>
      </c>
      <c r="D14" s="19" t="s">
        <v>287</v>
      </c>
      <c r="E14" s="17"/>
      <c r="F14" s="18" t="s">
        <v>294</v>
      </c>
      <c r="G14" s="319">
        <v>58.1</v>
      </c>
      <c r="H14" s="19" t="s">
        <v>295</v>
      </c>
      <c r="I14" s="14" t="s">
        <v>275</v>
      </c>
      <c r="J14" s="21" t="s">
        <v>286</v>
      </c>
      <c r="K14" s="12" t="s">
        <v>173</v>
      </c>
      <c r="L14" s="319" t="str">
        <f t="shared" si="0"/>
        <v/>
      </c>
      <c r="M14" s="22"/>
      <c r="N14" s="78" t="str">
        <f>IF(K14="NV","",IF(VLOOKUP(M14,'R_Häufigkeit_Faktoren UHR'!$B$4:$I$24,7,FALSE)=0,"",VLOOKUP(M14,'R_Häufigkeit_Faktoren UHR'!$B$4:$I$24,7,FALSE)))</f>
        <v/>
      </c>
      <c r="O14" s="3" t="str">
        <f t="shared" si="3"/>
        <v/>
      </c>
      <c r="P14" s="325"/>
      <c r="Q14" s="156" t="str">
        <f>IF(N14="","",VLOOKUP(J14,Raumgruppen_Leistungswerte!$B$5:$F$35,5,FALSE))</f>
        <v/>
      </c>
      <c r="R14" s="157" t="str">
        <f t="shared" si="4"/>
        <v/>
      </c>
      <c r="S14" s="445" t="str">
        <f t="shared" si="5"/>
        <v/>
      </c>
      <c r="T14" s="78" t="str">
        <f>IF(K14="NV","",IF(VLOOKUP(M14,'R_Häufigkeit_Faktoren UHR'!$B$4:$I$24,8,FALSE)=0,"",VLOOKUP(M14,'R_Häufigkeit_Faktoren UHR'!$B$4:$I$24,8,FALSE)))</f>
        <v/>
      </c>
      <c r="U14" s="156" t="str">
        <f t="shared" si="6"/>
        <v/>
      </c>
      <c r="V14" s="427"/>
      <c r="W14" s="12" t="str">
        <f>IF(T14="","",VLOOKUP(J14,Raumgruppen_Leistungswerte!$B$5:$F$35,5,FALSE))</f>
        <v/>
      </c>
      <c r="X14" s="156" t="str">
        <f t="shared" si="7"/>
        <v/>
      </c>
      <c r="Y14" s="446" t="str">
        <f t="shared" si="8"/>
        <v/>
      </c>
      <c r="Z14" s="158" t="str">
        <f t="shared" si="2"/>
        <v/>
      </c>
      <c r="AA14" s="23" t="str">
        <f t="shared" si="9"/>
        <v/>
      </c>
      <c r="AB14" s="445" t="str">
        <f t="shared" si="10"/>
        <v/>
      </c>
      <c r="AC14" s="123"/>
    </row>
    <row r="15" spans="1:33" ht="12" customHeight="1">
      <c r="A15" s="11">
        <v>11</v>
      </c>
      <c r="B15" s="12" t="s">
        <v>271</v>
      </c>
      <c r="C15" s="17">
        <v>-2</v>
      </c>
      <c r="D15" s="19" t="s">
        <v>272</v>
      </c>
      <c r="E15" s="17"/>
      <c r="F15" s="18" t="s">
        <v>296</v>
      </c>
      <c r="G15" s="319">
        <v>6.4</v>
      </c>
      <c r="H15" s="19" t="s">
        <v>297</v>
      </c>
      <c r="I15" s="20" t="s">
        <v>275</v>
      </c>
      <c r="J15" s="21" t="s">
        <v>286</v>
      </c>
      <c r="K15" s="12" t="s">
        <v>173</v>
      </c>
      <c r="L15" s="319" t="str">
        <f t="shared" si="0"/>
        <v/>
      </c>
      <c r="M15" s="22"/>
      <c r="N15" s="78" t="str">
        <f>IF(K15="NV","",IF(VLOOKUP(M15,'R_Häufigkeit_Faktoren UHR'!$B$4:$I$24,7,FALSE)=0,"",VLOOKUP(M15,'R_Häufigkeit_Faktoren UHR'!$B$4:$I$24,7,FALSE)))</f>
        <v/>
      </c>
      <c r="O15" s="3" t="str">
        <f t="shared" si="3"/>
        <v/>
      </c>
      <c r="P15" s="325"/>
      <c r="Q15" s="156" t="str">
        <f>IF(N15="","",VLOOKUP(J15,Raumgruppen_Leistungswerte!$B$5:$F$35,5,FALSE))</f>
        <v/>
      </c>
      <c r="R15" s="157" t="str">
        <f t="shared" si="4"/>
        <v/>
      </c>
      <c r="S15" s="445" t="str">
        <f t="shared" si="5"/>
        <v/>
      </c>
      <c r="T15" s="78" t="str">
        <f>IF(K15="NV","",IF(VLOOKUP(M15,'R_Häufigkeit_Faktoren UHR'!$B$4:$I$24,8,FALSE)=0,"",VLOOKUP(M15,'R_Häufigkeit_Faktoren UHR'!$B$4:$I$24,8,FALSE)))</f>
        <v/>
      </c>
      <c r="U15" s="156" t="str">
        <f t="shared" si="6"/>
        <v/>
      </c>
      <c r="V15" s="427"/>
      <c r="W15" s="12" t="str">
        <f>IF(T15="","",VLOOKUP(J15,Raumgruppen_Leistungswerte!$B$5:$F$35,5,FALSE))</f>
        <v/>
      </c>
      <c r="X15" s="156" t="str">
        <f t="shared" si="7"/>
        <v/>
      </c>
      <c r="Y15" s="446" t="str">
        <f t="shared" si="8"/>
        <v/>
      </c>
      <c r="Z15" s="158" t="str">
        <f t="shared" ref="Z15:Z46" si="11">IF(U15="",O15,O15+U15)</f>
        <v/>
      </c>
      <c r="AA15" s="23" t="str">
        <f t="shared" ref="AA15:AA46" si="12">IF(X15="",R15,X15+R15)</f>
        <v/>
      </c>
      <c r="AB15" s="445" t="str">
        <f t="shared" ref="AB15:AB46" si="13">IF(Y15="",S15,S15+Y15)</f>
        <v/>
      </c>
      <c r="AC15" s="123"/>
    </row>
    <row r="16" spans="1:33" ht="12" customHeight="1">
      <c r="A16" s="11">
        <v>12</v>
      </c>
      <c r="B16" s="12" t="s">
        <v>271</v>
      </c>
      <c r="C16" s="17">
        <v>-2</v>
      </c>
      <c r="D16" s="19" t="s">
        <v>287</v>
      </c>
      <c r="E16" s="17"/>
      <c r="F16" s="18" t="s">
        <v>298</v>
      </c>
      <c r="G16" s="319">
        <v>15.4</v>
      </c>
      <c r="H16" s="19" t="s">
        <v>299</v>
      </c>
      <c r="I16" s="14" t="s">
        <v>275</v>
      </c>
      <c r="J16" s="21" t="s">
        <v>286</v>
      </c>
      <c r="K16" s="12" t="s">
        <v>173</v>
      </c>
      <c r="L16" s="319" t="str">
        <f t="shared" si="0"/>
        <v/>
      </c>
      <c r="M16" s="22"/>
      <c r="N16" s="78" t="str">
        <f>IF(K16="NV","",IF(VLOOKUP(M16,'R_Häufigkeit_Faktoren UHR'!$B$4:$I$24,7,FALSE)=0,"",VLOOKUP(M16,'R_Häufigkeit_Faktoren UHR'!$B$4:$I$24,7,FALSE)))</f>
        <v/>
      </c>
      <c r="O16" s="3" t="str">
        <f t="shared" si="3"/>
        <v/>
      </c>
      <c r="P16" s="325"/>
      <c r="Q16" s="156" t="str">
        <f>IF(N16="","",VLOOKUP(J16,Raumgruppen_Leistungswerte!$B$5:$F$35,5,FALSE))</f>
        <v/>
      </c>
      <c r="R16" s="157" t="str">
        <f t="shared" si="4"/>
        <v/>
      </c>
      <c r="S16" s="445" t="str">
        <f t="shared" si="5"/>
        <v/>
      </c>
      <c r="T16" s="78" t="str">
        <f>IF(K16="NV","",IF(VLOOKUP(M16,'R_Häufigkeit_Faktoren UHR'!$B$4:$I$24,8,FALSE)=0,"",VLOOKUP(M16,'R_Häufigkeit_Faktoren UHR'!$B$4:$I$24,8,FALSE)))</f>
        <v/>
      </c>
      <c r="U16" s="156" t="str">
        <f t="shared" si="6"/>
        <v/>
      </c>
      <c r="V16" s="427"/>
      <c r="W16" s="12" t="str">
        <f>IF(T16="","",VLOOKUP(J16,Raumgruppen_Leistungswerte!$B$5:$F$35,5,FALSE))</f>
        <v/>
      </c>
      <c r="X16" s="156" t="str">
        <f t="shared" si="7"/>
        <v/>
      </c>
      <c r="Y16" s="446" t="str">
        <f t="shared" si="8"/>
        <v/>
      </c>
      <c r="Z16" s="158" t="str">
        <f t="shared" si="11"/>
        <v/>
      </c>
      <c r="AA16" s="23" t="str">
        <f t="shared" si="12"/>
        <v/>
      </c>
      <c r="AB16" s="445" t="str">
        <f t="shared" si="13"/>
        <v/>
      </c>
      <c r="AC16" s="123"/>
    </row>
    <row r="17" spans="1:29" ht="12" customHeight="1">
      <c r="A17" s="11">
        <v>13</v>
      </c>
      <c r="B17" s="12" t="s">
        <v>271</v>
      </c>
      <c r="C17" s="17">
        <v>-2</v>
      </c>
      <c r="D17" s="19" t="s">
        <v>272</v>
      </c>
      <c r="E17" s="17"/>
      <c r="F17" s="18" t="s">
        <v>300</v>
      </c>
      <c r="G17" s="319">
        <v>42.6</v>
      </c>
      <c r="H17" s="19" t="s">
        <v>301</v>
      </c>
      <c r="I17" s="20" t="s">
        <v>275</v>
      </c>
      <c r="J17" s="21" t="s">
        <v>286</v>
      </c>
      <c r="K17" s="12" t="s">
        <v>173</v>
      </c>
      <c r="L17" s="319" t="str">
        <f t="shared" si="0"/>
        <v/>
      </c>
      <c r="M17" s="22"/>
      <c r="N17" s="79" t="str">
        <f>IF(K17="NV","",IF(VLOOKUP(M17,'R_Häufigkeit_Faktoren UHR'!$B$4:$I$24,7,FALSE)=0,"",VLOOKUP(M17,'R_Häufigkeit_Faktoren UHR'!$B$4:$I$24,7,FALSE)))</f>
        <v/>
      </c>
      <c r="O17" s="3" t="str">
        <f t="shared" si="3"/>
        <v/>
      </c>
      <c r="P17" s="325"/>
      <c r="Q17" s="156" t="str">
        <f>IF(N17="","",VLOOKUP(J17,Raumgruppen_Leistungswerte!$B$5:$F$35,5,FALSE))</f>
        <v/>
      </c>
      <c r="R17" s="157" t="str">
        <f t="shared" si="4"/>
        <v/>
      </c>
      <c r="S17" s="445" t="str">
        <f t="shared" si="5"/>
        <v/>
      </c>
      <c r="T17" s="78" t="str">
        <f>IF(K17="NV","",IF(VLOOKUP(M17,'R_Häufigkeit_Faktoren UHR'!$B$4:$I$24,8,FALSE)=0,"",VLOOKUP(M17,'R_Häufigkeit_Faktoren UHR'!$B$4:$I$24,8,FALSE)))</f>
        <v/>
      </c>
      <c r="U17" s="156" t="str">
        <f t="shared" si="6"/>
        <v/>
      </c>
      <c r="V17" s="427"/>
      <c r="W17" s="12" t="str">
        <f>IF(T17="","",VLOOKUP(J17,Raumgruppen_Leistungswerte!$B$5:$F$35,5,FALSE))</f>
        <v/>
      </c>
      <c r="X17" s="156" t="str">
        <f t="shared" si="7"/>
        <v/>
      </c>
      <c r="Y17" s="446" t="str">
        <f t="shared" si="8"/>
        <v/>
      </c>
      <c r="Z17" s="158" t="str">
        <f t="shared" si="11"/>
        <v/>
      </c>
      <c r="AA17" s="23" t="str">
        <f t="shared" si="12"/>
        <v/>
      </c>
      <c r="AB17" s="445" t="str">
        <f t="shared" si="13"/>
        <v/>
      </c>
      <c r="AC17" s="123"/>
    </row>
    <row r="18" spans="1:29" ht="12" customHeight="1">
      <c r="A18" s="11">
        <v>14</v>
      </c>
      <c r="B18" s="12" t="s">
        <v>271</v>
      </c>
      <c r="C18" s="17">
        <v>-2</v>
      </c>
      <c r="D18" s="19" t="s">
        <v>287</v>
      </c>
      <c r="E18" s="17"/>
      <c r="F18" s="18" t="s">
        <v>302</v>
      </c>
      <c r="G18" s="319">
        <v>22.1</v>
      </c>
      <c r="H18" s="19" t="s">
        <v>303</v>
      </c>
      <c r="I18" s="20" t="s">
        <v>275</v>
      </c>
      <c r="J18" s="21" t="s">
        <v>286</v>
      </c>
      <c r="K18" s="12" t="s">
        <v>173</v>
      </c>
      <c r="L18" s="319" t="str">
        <f>IF(K18="NV","",G18)</f>
        <v/>
      </c>
      <c r="M18" s="22"/>
      <c r="N18" s="78" t="str">
        <f>IF(K18="NV","",IF(VLOOKUP(M18,'R_Häufigkeit_Faktoren UHR'!$B$4:$I$24,7,FALSE)=0,"",VLOOKUP(M18,'R_Häufigkeit_Faktoren UHR'!$B$4:$I$24,7,FALSE)))</f>
        <v/>
      </c>
      <c r="O18" s="3" t="str">
        <f t="shared" si="3"/>
        <v/>
      </c>
      <c r="P18" s="325"/>
      <c r="Q18" s="156" t="str">
        <f>IF(N18="","",VLOOKUP(J18,Raumgruppen_Leistungswerte!$B$5:$F$35,5,FALSE))</f>
        <v/>
      </c>
      <c r="R18" s="157" t="str">
        <f t="shared" si="4"/>
        <v/>
      </c>
      <c r="S18" s="445" t="str">
        <f t="shared" si="5"/>
        <v/>
      </c>
      <c r="T18" s="78" t="str">
        <f>IF(K18="NV","",IF(VLOOKUP(M18,'R_Häufigkeit_Faktoren UHR'!$B$4:$I$24,8,FALSE)=0,"",VLOOKUP(M18,'R_Häufigkeit_Faktoren UHR'!$B$4:$I$24,8,FALSE)))</f>
        <v/>
      </c>
      <c r="U18" s="156" t="str">
        <f t="shared" si="6"/>
        <v/>
      </c>
      <c r="V18" s="427"/>
      <c r="W18" s="12" t="str">
        <f>IF(T18="","",VLOOKUP(J18,Raumgruppen_Leistungswerte!$B$5:$F$35,5,FALSE))</f>
        <v/>
      </c>
      <c r="X18" s="156" t="str">
        <f t="shared" si="7"/>
        <v/>
      </c>
      <c r="Y18" s="446" t="str">
        <f t="shared" si="8"/>
        <v/>
      </c>
      <c r="Z18" s="158" t="str">
        <f t="shared" si="11"/>
        <v/>
      </c>
      <c r="AA18" s="23" t="str">
        <f t="shared" si="12"/>
        <v/>
      </c>
      <c r="AB18" s="445" t="str">
        <f t="shared" si="13"/>
        <v/>
      </c>
      <c r="AC18" s="123"/>
    </row>
    <row r="19" spans="1:29" ht="12" customHeight="1">
      <c r="A19" s="11">
        <v>15</v>
      </c>
      <c r="B19" s="12" t="s">
        <v>271</v>
      </c>
      <c r="C19" s="17">
        <v>-2</v>
      </c>
      <c r="D19" s="19" t="s">
        <v>287</v>
      </c>
      <c r="E19" s="17"/>
      <c r="F19" s="18" t="s">
        <v>304</v>
      </c>
      <c r="G19" s="319">
        <v>20.3</v>
      </c>
      <c r="H19" s="19" t="s">
        <v>305</v>
      </c>
      <c r="I19" s="20" t="s">
        <v>275</v>
      </c>
      <c r="J19" s="21" t="s">
        <v>286</v>
      </c>
      <c r="K19" s="12" t="s">
        <v>173</v>
      </c>
      <c r="L19" s="319" t="str">
        <f t="shared" ref="L19:L245" si="14">IF(K19="NV","",G19)</f>
        <v/>
      </c>
      <c r="M19" s="22"/>
      <c r="N19" s="78" t="str">
        <f>IF(K19="NV","",IF(VLOOKUP(M19,'R_Häufigkeit_Faktoren UHR'!$B$4:$I$24,7,FALSE)=0,"",VLOOKUP(M19,'R_Häufigkeit_Faktoren UHR'!$B$4:$I$24,7,FALSE)))</f>
        <v/>
      </c>
      <c r="O19" s="3" t="str">
        <f t="shared" si="3"/>
        <v/>
      </c>
      <c r="P19" s="325"/>
      <c r="Q19" s="156" t="str">
        <f>IF(N19="","",VLOOKUP(J19,Raumgruppen_Leistungswerte!$B$5:$F$35,5,FALSE))</f>
        <v/>
      </c>
      <c r="R19" s="157" t="str">
        <f t="shared" si="4"/>
        <v/>
      </c>
      <c r="S19" s="445" t="str">
        <f t="shared" si="5"/>
        <v/>
      </c>
      <c r="T19" s="78" t="str">
        <f>IF(K19="NV","",IF(VLOOKUP(M19,'R_Häufigkeit_Faktoren UHR'!$B$4:$I$24,8,FALSE)=0,"",VLOOKUP(M19,'R_Häufigkeit_Faktoren UHR'!$B$4:$I$24,8,FALSE)))</f>
        <v/>
      </c>
      <c r="U19" s="156" t="str">
        <f t="shared" si="6"/>
        <v/>
      </c>
      <c r="V19" s="427"/>
      <c r="W19" s="12" t="str">
        <f>IF(T19="","",VLOOKUP(J19,Raumgruppen_Leistungswerte!$B$5:$F$35,5,FALSE))</f>
        <v/>
      </c>
      <c r="X19" s="156" t="str">
        <f t="shared" si="7"/>
        <v/>
      </c>
      <c r="Y19" s="446" t="str">
        <f t="shared" si="8"/>
        <v/>
      </c>
      <c r="Z19" s="158" t="str">
        <f t="shared" si="11"/>
        <v/>
      </c>
      <c r="AA19" s="23" t="str">
        <f t="shared" si="12"/>
        <v/>
      </c>
      <c r="AB19" s="445" t="str">
        <f t="shared" si="13"/>
        <v/>
      </c>
      <c r="AC19" s="123"/>
    </row>
    <row r="20" spans="1:29" ht="12" customHeight="1">
      <c r="A20" s="11">
        <v>16</v>
      </c>
      <c r="B20" s="12" t="s">
        <v>271</v>
      </c>
      <c r="C20" s="17">
        <v>-2</v>
      </c>
      <c r="D20" s="19" t="s">
        <v>287</v>
      </c>
      <c r="E20" s="17"/>
      <c r="F20" s="18" t="s">
        <v>306</v>
      </c>
      <c r="G20" s="319">
        <v>7</v>
      </c>
      <c r="H20" s="19" t="s">
        <v>307</v>
      </c>
      <c r="I20" s="14" t="s">
        <v>275</v>
      </c>
      <c r="J20" s="21" t="s">
        <v>286</v>
      </c>
      <c r="K20" s="12" t="s">
        <v>173</v>
      </c>
      <c r="L20" s="319" t="str">
        <f t="shared" si="14"/>
        <v/>
      </c>
      <c r="M20" s="22"/>
      <c r="N20" s="78" t="str">
        <f>IF(K20="NV","",IF(VLOOKUP(M20,'R_Häufigkeit_Faktoren UHR'!$B$4:$I$24,7,FALSE)=0,"",VLOOKUP(M20,'R_Häufigkeit_Faktoren UHR'!$B$4:$I$24,7,FALSE)))</f>
        <v/>
      </c>
      <c r="O20" s="3" t="str">
        <f t="shared" si="3"/>
        <v/>
      </c>
      <c r="P20" s="325"/>
      <c r="Q20" s="156" t="str">
        <f>IF(N20="","",VLOOKUP(J20,Raumgruppen_Leistungswerte!$B$5:$F$35,5,FALSE))</f>
        <v/>
      </c>
      <c r="R20" s="157" t="str">
        <f t="shared" si="4"/>
        <v/>
      </c>
      <c r="S20" s="445" t="str">
        <f t="shared" si="5"/>
        <v/>
      </c>
      <c r="T20" s="78" t="str">
        <f>IF(K20="NV","",IF(VLOOKUP(M20,'R_Häufigkeit_Faktoren UHR'!$B$4:$I$24,8,FALSE)=0,"",VLOOKUP(M20,'R_Häufigkeit_Faktoren UHR'!$B$4:$I$24,8,FALSE)))</f>
        <v/>
      </c>
      <c r="U20" s="156" t="str">
        <f t="shared" si="6"/>
        <v/>
      </c>
      <c r="V20" s="427"/>
      <c r="W20" s="12" t="str">
        <f>IF(T20="","",VLOOKUP(J20,Raumgruppen_Leistungswerte!$B$5:$F$35,5,FALSE))</f>
        <v/>
      </c>
      <c r="X20" s="156" t="str">
        <f t="shared" si="7"/>
        <v/>
      </c>
      <c r="Y20" s="446" t="str">
        <f t="shared" si="8"/>
        <v/>
      </c>
      <c r="Z20" s="158" t="str">
        <f t="shared" si="11"/>
        <v/>
      </c>
      <c r="AA20" s="23" t="str">
        <f t="shared" si="12"/>
        <v/>
      </c>
      <c r="AB20" s="445" t="str">
        <f t="shared" si="13"/>
        <v/>
      </c>
      <c r="AC20" s="123"/>
    </row>
    <row r="21" spans="1:29" ht="12" customHeight="1">
      <c r="A21" s="11">
        <v>17</v>
      </c>
      <c r="B21" s="12" t="s">
        <v>271</v>
      </c>
      <c r="C21" s="17">
        <v>-2</v>
      </c>
      <c r="D21" s="19" t="s">
        <v>272</v>
      </c>
      <c r="E21" s="17"/>
      <c r="F21" s="18" t="s">
        <v>308</v>
      </c>
      <c r="G21" s="319">
        <v>8</v>
      </c>
      <c r="H21" s="19" t="s">
        <v>309</v>
      </c>
      <c r="I21" s="14" t="s">
        <v>275</v>
      </c>
      <c r="J21" s="21" t="s">
        <v>286</v>
      </c>
      <c r="K21" s="12" t="s">
        <v>173</v>
      </c>
      <c r="L21" s="319" t="str">
        <f t="shared" si="14"/>
        <v/>
      </c>
      <c r="M21" s="22"/>
      <c r="N21" s="78" t="str">
        <f>IF(K21="NV","",IF(VLOOKUP(M21,'R_Häufigkeit_Faktoren UHR'!$B$4:$I$24,7,FALSE)=0,"",VLOOKUP(M21,'R_Häufigkeit_Faktoren UHR'!$B$4:$I$24,7,FALSE)))</f>
        <v/>
      </c>
      <c r="O21" s="3" t="str">
        <f t="shared" si="3"/>
        <v/>
      </c>
      <c r="P21" s="325"/>
      <c r="Q21" s="156" t="str">
        <f>IF(N21="","",VLOOKUP(J21,Raumgruppen_Leistungswerte!$B$5:$F$35,5,FALSE))</f>
        <v/>
      </c>
      <c r="R21" s="157" t="str">
        <f t="shared" si="4"/>
        <v/>
      </c>
      <c r="S21" s="445" t="str">
        <f t="shared" si="5"/>
        <v/>
      </c>
      <c r="T21" s="78" t="str">
        <f>IF(K21="NV","",IF(VLOOKUP(M21,'R_Häufigkeit_Faktoren UHR'!$B$4:$I$24,8,FALSE)=0,"",VLOOKUP(M21,'R_Häufigkeit_Faktoren UHR'!$B$4:$I$24,8,FALSE)))</f>
        <v/>
      </c>
      <c r="U21" s="156" t="str">
        <f t="shared" si="6"/>
        <v/>
      </c>
      <c r="V21" s="427"/>
      <c r="W21" s="12" t="str">
        <f>IF(T21="","",VLOOKUP(J21,Raumgruppen_Leistungswerte!$B$5:$F$35,5,FALSE))</f>
        <v/>
      </c>
      <c r="X21" s="156" t="str">
        <f t="shared" si="7"/>
        <v/>
      </c>
      <c r="Y21" s="446" t="str">
        <f t="shared" si="8"/>
        <v/>
      </c>
      <c r="Z21" s="158" t="str">
        <f t="shared" si="11"/>
        <v/>
      </c>
      <c r="AA21" s="23" t="str">
        <f t="shared" si="12"/>
        <v/>
      </c>
      <c r="AB21" s="445" t="str">
        <f t="shared" si="13"/>
        <v/>
      </c>
      <c r="AC21" s="123"/>
    </row>
    <row r="22" spans="1:29" ht="12" customHeight="1">
      <c r="A22" s="11">
        <v>18</v>
      </c>
      <c r="B22" s="12" t="s">
        <v>271</v>
      </c>
      <c r="C22" s="17">
        <v>-2</v>
      </c>
      <c r="D22" s="19" t="s">
        <v>287</v>
      </c>
      <c r="E22" s="17"/>
      <c r="F22" s="18" t="s">
        <v>310</v>
      </c>
      <c r="G22" s="319">
        <v>8.3000000000000007</v>
      </c>
      <c r="H22" s="19" t="s">
        <v>311</v>
      </c>
      <c r="I22" s="14" t="s">
        <v>275</v>
      </c>
      <c r="J22" s="21" t="s">
        <v>286</v>
      </c>
      <c r="K22" s="12" t="s">
        <v>173</v>
      </c>
      <c r="L22" s="319" t="str">
        <f t="shared" si="14"/>
        <v/>
      </c>
      <c r="M22" s="22"/>
      <c r="N22" s="79" t="str">
        <f>IF(K22="NV","",IF(VLOOKUP(M22,'R_Häufigkeit_Faktoren UHR'!$B$4:$I$24,7,FALSE)=0,"",VLOOKUP(M22,'R_Häufigkeit_Faktoren UHR'!$B$4:$I$24,7,FALSE)))</f>
        <v/>
      </c>
      <c r="O22" s="3" t="str">
        <f t="shared" si="3"/>
        <v/>
      </c>
      <c r="P22" s="325"/>
      <c r="Q22" s="156" t="str">
        <f>IF(N22="","",VLOOKUP(J22,Raumgruppen_Leistungswerte!$B$5:$F$35,5,FALSE))</f>
        <v/>
      </c>
      <c r="R22" s="157" t="str">
        <f t="shared" si="4"/>
        <v/>
      </c>
      <c r="S22" s="445" t="str">
        <f t="shared" si="5"/>
        <v/>
      </c>
      <c r="T22" s="78" t="str">
        <f>IF(K22="NV","",IF(VLOOKUP(M22,'R_Häufigkeit_Faktoren UHR'!$B$4:$I$24,8,FALSE)=0,"",VLOOKUP(M22,'R_Häufigkeit_Faktoren UHR'!$B$4:$I$24,8,FALSE)))</f>
        <v/>
      </c>
      <c r="U22" s="156" t="str">
        <f t="shared" si="6"/>
        <v/>
      </c>
      <c r="V22" s="427"/>
      <c r="W22" s="12" t="str">
        <f>IF(T22="","",VLOOKUP(J22,Raumgruppen_Leistungswerte!$B$5:$F$35,5,FALSE))</f>
        <v/>
      </c>
      <c r="X22" s="156" t="str">
        <f t="shared" si="7"/>
        <v/>
      </c>
      <c r="Y22" s="446" t="str">
        <f t="shared" si="8"/>
        <v/>
      </c>
      <c r="Z22" s="158" t="str">
        <f t="shared" si="11"/>
        <v/>
      </c>
      <c r="AA22" s="23" t="str">
        <f t="shared" si="12"/>
        <v/>
      </c>
      <c r="AB22" s="445" t="str">
        <f t="shared" si="13"/>
        <v/>
      </c>
      <c r="AC22" s="123"/>
    </row>
    <row r="23" spans="1:29" ht="12" customHeight="1">
      <c r="A23" s="11">
        <v>19</v>
      </c>
      <c r="B23" s="12" t="s">
        <v>271</v>
      </c>
      <c r="C23" s="17">
        <v>-2</v>
      </c>
      <c r="D23" s="19" t="s">
        <v>287</v>
      </c>
      <c r="E23" s="17"/>
      <c r="F23" s="18" t="s">
        <v>312</v>
      </c>
      <c r="G23" s="319">
        <v>8.6999999999999993</v>
      </c>
      <c r="H23" s="19" t="s">
        <v>313</v>
      </c>
      <c r="I23" s="14" t="s">
        <v>275</v>
      </c>
      <c r="J23" s="21" t="s">
        <v>286</v>
      </c>
      <c r="K23" s="12" t="s">
        <v>173</v>
      </c>
      <c r="L23" s="319" t="str">
        <f t="shared" si="14"/>
        <v/>
      </c>
      <c r="M23" s="22"/>
      <c r="N23" s="79" t="str">
        <f>IF(K23="NV","",IF(VLOOKUP(M23,'R_Häufigkeit_Faktoren UHR'!$B$4:$I$24,7,FALSE)=0,"",VLOOKUP(M23,'R_Häufigkeit_Faktoren UHR'!$B$4:$I$24,7,FALSE)))</f>
        <v/>
      </c>
      <c r="O23" s="3" t="str">
        <f t="shared" si="3"/>
        <v/>
      </c>
      <c r="P23" s="325"/>
      <c r="Q23" s="156" t="str">
        <f>IF(N23="","",VLOOKUP(J23,Raumgruppen_Leistungswerte!$B$5:$F$35,5,FALSE))</f>
        <v/>
      </c>
      <c r="R23" s="157" t="str">
        <f t="shared" si="4"/>
        <v/>
      </c>
      <c r="S23" s="445" t="str">
        <f t="shared" si="5"/>
        <v/>
      </c>
      <c r="T23" s="78" t="str">
        <f>IF(K23="NV","",IF(VLOOKUP(M23,'R_Häufigkeit_Faktoren UHR'!$B$4:$I$24,8,FALSE)=0,"",VLOOKUP(M23,'R_Häufigkeit_Faktoren UHR'!$B$4:$I$24,8,FALSE)))</f>
        <v/>
      </c>
      <c r="U23" s="156" t="str">
        <f t="shared" si="6"/>
        <v/>
      </c>
      <c r="V23" s="427"/>
      <c r="W23" s="12" t="str">
        <f>IF(T23="","",VLOOKUP(J23,Raumgruppen_Leistungswerte!$B$5:$F$35,5,FALSE))</f>
        <v/>
      </c>
      <c r="X23" s="156" t="str">
        <f t="shared" si="7"/>
        <v/>
      </c>
      <c r="Y23" s="446" t="str">
        <f t="shared" si="8"/>
        <v/>
      </c>
      <c r="Z23" s="158" t="str">
        <f t="shared" si="11"/>
        <v/>
      </c>
      <c r="AA23" s="23" t="str">
        <f t="shared" si="12"/>
        <v/>
      </c>
      <c r="AB23" s="445" t="str">
        <f t="shared" si="13"/>
        <v/>
      </c>
      <c r="AC23" s="123"/>
    </row>
    <row r="24" spans="1:29" ht="12" customHeight="1">
      <c r="A24" s="11">
        <v>20</v>
      </c>
      <c r="B24" s="12" t="s">
        <v>271</v>
      </c>
      <c r="C24" s="17">
        <v>-2</v>
      </c>
      <c r="D24" s="19" t="s">
        <v>287</v>
      </c>
      <c r="E24" s="17"/>
      <c r="F24" s="18" t="s">
        <v>314</v>
      </c>
      <c r="G24" s="319">
        <v>5.9</v>
      </c>
      <c r="H24" s="19" t="s">
        <v>315</v>
      </c>
      <c r="I24" s="20" t="s">
        <v>275</v>
      </c>
      <c r="J24" s="21" t="s">
        <v>286</v>
      </c>
      <c r="K24" s="12" t="s">
        <v>173</v>
      </c>
      <c r="L24" s="319" t="str">
        <f t="shared" si="14"/>
        <v/>
      </c>
      <c r="M24" s="22"/>
      <c r="N24" s="79" t="str">
        <f>IF(K24="NV","",IF(VLOOKUP(M24,'R_Häufigkeit_Faktoren UHR'!$B$4:$I$24,7,FALSE)=0,"",VLOOKUP(M24,'R_Häufigkeit_Faktoren UHR'!$B$4:$I$24,7,FALSE)))</f>
        <v/>
      </c>
      <c r="O24" s="3" t="str">
        <f t="shared" si="3"/>
        <v/>
      </c>
      <c r="P24" s="325"/>
      <c r="Q24" s="156" t="str">
        <f>IF(N24="","",VLOOKUP(J24,Raumgruppen_Leistungswerte!$B$5:$F$35,5,FALSE))</f>
        <v/>
      </c>
      <c r="R24" s="157" t="str">
        <f t="shared" si="4"/>
        <v/>
      </c>
      <c r="S24" s="445" t="str">
        <f t="shared" si="5"/>
        <v/>
      </c>
      <c r="T24" s="78" t="str">
        <f>IF(K24="NV","",IF(VLOOKUP(M24,'R_Häufigkeit_Faktoren UHR'!$B$4:$I$24,8,FALSE)=0,"",VLOOKUP(M24,'R_Häufigkeit_Faktoren UHR'!$B$4:$I$24,8,FALSE)))</f>
        <v/>
      </c>
      <c r="U24" s="156" t="str">
        <f t="shared" si="6"/>
        <v/>
      </c>
      <c r="V24" s="427"/>
      <c r="W24" s="12" t="str">
        <f>IF(T24="","",VLOOKUP(J24,Raumgruppen_Leistungswerte!$B$5:$F$35,5,FALSE))</f>
        <v/>
      </c>
      <c r="X24" s="156" t="str">
        <f t="shared" si="7"/>
        <v/>
      </c>
      <c r="Y24" s="446" t="str">
        <f t="shared" si="8"/>
        <v/>
      </c>
      <c r="Z24" s="158" t="str">
        <f t="shared" si="11"/>
        <v/>
      </c>
      <c r="AA24" s="23" t="str">
        <f t="shared" si="12"/>
        <v/>
      </c>
      <c r="AB24" s="445" t="str">
        <f t="shared" si="13"/>
        <v/>
      </c>
      <c r="AC24" s="123"/>
    </row>
    <row r="25" spans="1:29" ht="12" customHeight="1">
      <c r="A25" s="11">
        <v>21</v>
      </c>
      <c r="B25" s="12" t="s">
        <v>271</v>
      </c>
      <c r="C25" s="17">
        <v>-2</v>
      </c>
      <c r="D25" s="19" t="s">
        <v>287</v>
      </c>
      <c r="E25" s="17"/>
      <c r="F25" s="18" t="s">
        <v>316</v>
      </c>
      <c r="G25" s="319">
        <v>12.5</v>
      </c>
      <c r="H25" s="19" t="s">
        <v>317</v>
      </c>
      <c r="I25" s="20" t="s">
        <v>275</v>
      </c>
      <c r="J25" s="21" t="s">
        <v>286</v>
      </c>
      <c r="K25" s="12" t="s">
        <v>173</v>
      </c>
      <c r="L25" s="319" t="str">
        <f t="shared" si="14"/>
        <v/>
      </c>
      <c r="M25" s="22"/>
      <c r="N25" s="79" t="str">
        <f>IF(K25="NV","",IF(VLOOKUP(M25,'R_Häufigkeit_Faktoren UHR'!$B$4:$I$24,7,FALSE)=0,"",VLOOKUP(M25,'R_Häufigkeit_Faktoren UHR'!$B$4:$I$24,7,FALSE)))</f>
        <v/>
      </c>
      <c r="O25" s="3" t="str">
        <f t="shared" si="3"/>
        <v/>
      </c>
      <c r="P25" s="325"/>
      <c r="Q25" s="156" t="str">
        <f>IF(N25="","",VLOOKUP(J25,Raumgruppen_Leistungswerte!$B$5:$F$35,5,FALSE))</f>
        <v/>
      </c>
      <c r="R25" s="157" t="str">
        <f t="shared" si="4"/>
        <v/>
      </c>
      <c r="S25" s="445" t="str">
        <f t="shared" si="5"/>
        <v/>
      </c>
      <c r="T25" s="78" t="str">
        <f>IF(K25="NV","",IF(VLOOKUP(M25,'R_Häufigkeit_Faktoren UHR'!$B$4:$I$24,8,FALSE)=0,"",VLOOKUP(M25,'R_Häufigkeit_Faktoren UHR'!$B$4:$I$24,8,FALSE)))</f>
        <v/>
      </c>
      <c r="U25" s="156" t="str">
        <f t="shared" si="6"/>
        <v/>
      </c>
      <c r="V25" s="427"/>
      <c r="W25" s="12" t="str">
        <f>IF(T25="","",VLOOKUP(J25,Raumgruppen_Leistungswerte!$B$5:$F$35,5,FALSE))</f>
        <v/>
      </c>
      <c r="X25" s="156" t="str">
        <f t="shared" si="7"/>
        <v/>
      </c>
      <c r="Y25" s="446" t="str">
        <f t="shared" si="8"/>
        <v/>
      </c>
      <c r="Z25" s="158" t="str">
        <f t="shared" si="11"/>
        <v/>
      </c>
      <c r="AA25" s="23" t="str">
        <f t="shared" si="12"/>
        <v/>
      </c>
      <c r="AB25" s="445" t="str">
        <f t="shared" si="13"/>
        <v/>
      </c>
      <c r="AC25" s="123"/>
    </row>
    <row r="26" spans="1:29" ht="12" customHeight="1">
      <c r="A26" s="11">
        <v>22</v>
      </c>
      <c r="B26" s="12" t="s">
        <v>271</v>
      </c>
      <c r="C26" s="17">
        <v>-2</v>
      </c>
      <c r="D26" s="19" t="s">
        <v>287</v>
      </c>
      <c r="E26" s="17"/>
      <c r="F26" s="18" t="s">
        <v>318</v>
      </c>
      <c r="G26" s="319">
        <v>43.8</v>
      </c>
      <c r="H26" s="19" t="s">
        <v>317</v>
      </c>
      <c r="I26" s="20" t="s">
        <v>275</v>
      </c>
      <c r="J26" s="21" t="s">
        <v>286</v>
      </c>
      <c r="K26" s="12" t="s">
        <v>173</v>
      </c>
      <c r="L26" s="319" t="str">
        <f t="shared" si="14"/>
        <v/>
      </c>
      <c r="M26" s="22"/>
      <c r="N26" s="79" t="str">
        <f>IF(K26="NV","",IF(VLOOKUP(M26,'R_Häufigkeit_Faktoren UHR'!$B$4:$I$24,7,FALSE)=0,"",VLOOKUP(M26,'R_Häufigkeit_Faktoren UHR'!$B$4:$I$24,7,FALSE)))</f>
        <v/>
      </c>
      <c r="O26" s="3" t="str">
        <f t="shared" si="3"/>
        <v/>
      </c>
      <c r="P26" s="325"/>
      <c r="Q26" s="156" t="str">
        <f>IF(N26="","",VLOOKUP(J26,Raumgruppen_Leistungswerte!$B$5:$F$35,5,FALSE))</f>
        <v/>
      </c>
      <c r="R26" s="157" t="str">
        <f t="shared" si="4"/>
        <v/>
      </c>
      <c r="S26" s="445" t="str">
        <f t="shared" si="5"/>
        <v/>
      </c>
      <c r="T26" s="78" t="str">
        <f>IF(K26="NV","",IF(VLOOKUP(M26,'R_Häufigkeit_Faktoren UHR'!$B$4:$I$24,8,FALSE)=0,"",VLOOKUP(M26,'R_Häufigkeit_Faktoren UHR'!$B$4:$I$24,8,FALSE)))</f>
        <v/>
      </c>
      <c r="U26" s="156" t="str">
        <f t="shared" si="6"/>
        <v/>
      </c>
      <c r="V26" s="427"/>
      <c r="W26" s="12" t="str">
        <f>IF(T26="","",VLOOKUP(J26,Raumgruppen_Leistungswerte!$B$5:$F$35,5,FALSE))</f>
        <v/>
      </c>
      <c r="X26" s="156" t="str">
        <f t="shared" si="7"/>
        <v/>
      </c>
      <c r="Y26" s="446" t="str">
        <f t="shared" si="8"/>
        <v/>
      </c>
      <c r="Z26" s="158" t="str">
        <f t="shared" si="11"/>
        <v/>
      </c>
      <c r="AA26" s="23" t="str">
        <f t="shared" si="12"/>
        <v/>
      </c>
      <c r="AB26" s="445" t="str">
        <f t="shared" si="13"/>
        <v/>
      </c>
      <c r="AC26" s="123"/>
    </row>
    <row r="27" spans="1:29" ht="12" customHeight="1">
      <c r="A27" s="11">
        <v>23</v>
      </c>
      <c r="B27" s="12" t="s">
        <v>271</v>
      </c>
      <c r="C27" s="17">
        <v>-2</v>
      </c>
      <c r="D27" s="19" t="s">
        <v>272</v>
      </c>
      <c r="E27" s="17"/>
      <c r="F27" s="18" t="s">
        <v>319</v>
      </c>
      <c r="G27" s="319">
        <v>17.2</v>
      </c>
      <c r="H27" s="19" t="s">
        <v>320</v>
      </c>
      <c r="I27" s="20" t="s">
        <v>275</v>
      </c>
      <c r="J27" s="21" t="s">
        <v>238</v>
      </c>
      <c r="K27" s="12" t="s">
        <v>14</v>
      </c>
      <c r="L27" s="319">
        <f t="shared" si="14"/>
        <v>17.2</v>
      </c>
      <c r="M27" s="22">
        <v>5</v>
      </c>
      <c r="N27" s="79">
        <f>IF(K27="NV","",IF(VLOOKUP(M27,'R_Häufigkeit_Faktoren UHR'!$B$4:$I$24,7,FALSE)=0,"",VLOOKUP(M27,'R_Häufigkeit_Faktoren UHR'!$B$4:$I$24,7,FALSE)))</f>
        <v>20.917857142857144</v>
      </c>
      <c r="O27" s="3">
        <f t="shared" si="3"/>
        <v>359.7871428571429</v>
      </c>
      <c r="P27" s="325"/>
      <c r="Q27" s="156">
        <f>IF(N27="","",VLOOKUP(J27,Raumgruppen_Leistungswerte!$B$5:$F$35,5,FALSE))</f>
        <v>0</v>
      </c>
      <c r="R27" s="157" t="e">
        <f t="shared" si="4"/>
        <v>#DIV/0!</v>
      </c>
      <c r="S27" s="445" t="e">
        <f t="shared" si="5"/>
        <v>#DIV/0!</v>
      </c>
      <c r="T27" s="78" t="str">
        <f>IF(K27="NV","",IF(VLOOKUP(M27,'R_Häufigkeit_Faktoren UHR'!$B$4:$I$24,8,FALSE)=0,"",VLOOKUP(M27,'R_Häufigkeit_Faktoren UHR'!$B$4:$I$24,8,FALSE)))</f>
        <v/>
      </c>
      <c r="U27" s="156" t="str">
        <f t="shared" si="6"/>
        <v/>
      </c>
      <c r="V27" s="427"/>
      <c r="W27" s="12" t="str">
        <f>IF(T27="","",VLOOKUP(J27,Raumgruppen_Leistungswerte!$B$5:$F$35,5,FALSE))</f>
        <v/>
      </c>
      <c r="X27" s="156" t="str">
        <f t="shared" si="7"/>
        <v/>
      </c>
      <c r="Y27" s="446" t="str">
        <f t="shared" si="8"/>
        <v/>
      </c>
      <c r="Z27" s="158">
        <f t="shared" si="11"/>
        <v>359.7871428571429</v>
      </c>
      <c r="AA27" s="23" t="e">
        <f t="shared" si="12"/>
        <v>#DIV/0!</v>
      </c>
      <c r="AB27" s="445" t="e">
        <f t="shared" si="13"/>
        <v>#DIV/0!</v>
      </c>
      <c r="AC27" s="123"/>
    </row>
    <row r="28" spans="1:29" ht="12" customHeight="1">
      <c r="A28" s="11">
        <v>24</v>
      </c>
      <c r="B28" s="12" t="s">
        <v>271</v>
      </c>
      <c r="C28" s="17">
        <v>-2</v>
      </c>
      <c r="D28" s="19" t="s">
        <v>272</v>
      </c>
      <c r="E28" s="17"/>
      <c r="F28" s="18" t="s">
        <v>321</v>
      </c>
      <c r="G28" s="319">
        <v>24.8</v>
      </c>
      <c r="H28" s="19" t="s">
        <v>322</v>
      </c>
      <c r="I28" s="14" t="s">
        <v>275</v>
      </c>
      <c r="J28" s="21" t="s">
        <v>286</v>
      </c>
      <c r="K28" s="12" t="s">
        <v>173</v>
      </c>
      <c r="L28" s="319" t="str">
        <f t="shared" si="14"/>
        <v/>
      </c>
      <c r="M28" s="22"/>
      <c r="N28" s="79" t="str">
        <f>IF(K28="NV","",IF(VLOOKUP(M28,'R_Häufigkeit_Faktoren UHR'!$B$4:$I$24,7,FALSE)=0,"",VLOOKUP(M28,'R_Häufigkeit_Faktoren UHR'!$B$4:$I$24,7,FALSE)))</f>
        <v/>
      </c>
      <c r="O28" s="3" t="str">
        <f t="shared" si="3"/>
        <v/>
      </c>
      <c r="P28" s="325"/>
      <c r="Q28" s="156" t="str">
        <f>IF(N28="","",VLOOKUP(J28,Raumgruppen_Leistungswerte!$B$5:$F$35,5,FALSE))</f>
        <v/>
      </c>
      <c r="R28" s="157" t="str">
        <f t="shared" si="4"/>
        <v/>
      </c>
      <c r="S28" s="445" t="str">
        <f t="shared" si="5"/>
        <v/>
      </c>
      <c r="T28" s="78" t="str">
        <f>IF(K28="NV","",IF(VLOOKUP(M28,'R_Häufigkeit_Faktoren UHR'!$B$4:$I$24,8,FALSE)=0,"",VLOOKUP(M28,'R_Häufigkeit_Faktoren UHR'!$B$4:$I$24,8,FALSE)))</f>
        <v/>
      </c>
      <c r="U28" s="156" t="str">
        <f t="shared" si="6"/>
        <v/>
      </c>
      <c r="V28" s="427"/>
      <c r="W28" s="12" t="str">
        <f>IF(T28="","",VLOOKUP(J28,Raumgruppen_Leistungswerte!$B$5:$F$35,5,FALSE))</f>
        <v/>
      </c>
      <c r="X28" s="156" t="str">
        <f t="shared" si="7"/>
        <v/>
      </c>
      <c r="Y28" s="446" t="str">
        <f t="shared" si="8"/>
        <v/>
      </c>
      <c r="Z28" s="158" t="str">
        <f t="shared" si="11"/>
        <v/>
      </c>
      <c r="AA28" s="23" t="str">
        <f t="shared" si="12"/>
        <v/>
      </c>
      <c r="AB28" s="445" t="str">
        <f t="shared" si="13"/>
        <v/>
      </c>
      <c r="AC28" s="123"/>
    </row>
    <row r="29" spans="1:29" ht="12" customHeight="1">
      <c r="A29" s="11">
        <v>25</v>
      </c>
      <c r="B29" s="12" t="s">
        <v>271</v>
      </c>
      <c r="C29" s="17">
        <v>-2</v>
      </c>
      <c r="D29" s="19" t="s">
        <v>272</v>
      </c>
      <c r="E29" s="17"/>
      <c r="F29" s="18" t="s">
        <v>323</v>
      </c>
      <c r="G29" s="319">
        <v>22.6</v>
      </c>
      <c r="H29" s="19" t="s">
        <v>322</v>
      </c>
      <c r="I29" s="14" t="s">
        <v>275</v>
      </c>
      <c r="J29" s="21" t="s">
        <v>286</v>
      </c>
      <c r="K29" s="12" t="s">
        <v>173</v>
      </c>
      <c r="L29" s="319" t="str">
        <f t="shared" si="14"/>
        <v/>
      </c>
      <c r="M29" s="22"/>
      <c r="N29" s="79" t="str">
        <f>IF(K29="NV","",IF(VLOOKUP(M29,'R_Häufigkeit_Faktoren UHR'!$B$4:$I$24,7,FALSE)=0,"",VLOOKUP(M29,'R_Häufigkeit_Faktoren UHR'!$B$4:$I$24,7,FALSE)))</f>
        <v/>
      </c>
      <c r="O29" s="3" t="str">
        <f t="shared" si="3"/>
        <v/>
      </c>
      <c r="P29" s="325"/>
      <c r="Q29" s="156" t="str">
        <f>IF(N29="","",VLOOKUP(J29,Raumgruppen_Leistungswerte!$B$5:$F$35,5,FALSE))</f>
        <v/>
      </c>
      <c r="R29" s="157" t="str">
        <f t="shared" si="4"/>
        <v/>
      </c>
      <c r="S29" s="445" t="str">
        <f t="shared" si="5"/>
        <v/>
      </c>
      <c r="T29" s="78" t="str">
        <f>IF(K29="NV","",IF(VLOOKUP(M29,'R_Häufigkeit_Faktoren UHR'!$B$4:$I$24,8,FALSE)=0,"",VLOOKUP(M29,'R_Häufigkeit_Faktoren UHR'!$B$4:$I$24,8,FALSE)))</f>
        <v/>
      </c>
      <c r="U29" s="156" t="str">
        <f t="shared" si="6"/>
        <v/>
      </c>
      <c r="V29" s="427"/>
      <c r="W29" s="12" t="str">
        <f>IF(T29="","",VLOOKUP(J29,Raumgruppen_Leistungswerte!$B$5:$F$35,5,FALSE))</f>
        <v/>
      </c>
      <c r="X29" s="156" t="str">
        <f t="shared" si="7"/>
        <v/>
      </c>
      <c r="Y29" s="446" t="str">
        <f t="shared" si="8"/>
        <v/>
      </c>
      <c r="Z29" s="158" t="str">
        <f t="shared" si="11"/>
        <v/>
      </c>
      <c r="AA29" s="23" t="str">
        <f t="shared" si="12"/>
        <v/>
      </c>
      <c r="AB29" s="445" t="str">
        <f t="shared" si="13"/>
        <v/>
      </c>
      <c r="AC29" s="123"/>
    </row>
    <row r="30" spans="1:29" ht="12" customHeight="1">
      <c r="A30" s="11">
        <v>26</v>
      </c>
      <c r="B30" s="12" t="s">
        <v>271</v>
      </c>
      <c r="C30" s="17">
        <v>-2</v>
      </c>
      <c r="D30" s="19" t="s">
        <v>272</v>
      </c>
      <c r="E30" s="17"/>
      <c r="F30" s="18" t="s">
        <v>324</v>
      </c>
      <c r="G30" s="319">
        <v>12.7</v>
      </c>
      <c r="H30" s="19" t="s">
        <v>274</v>
      </c>
      <c r="I30" s="14" t="s">
        <v>275</v>
      </c>
      <c r="J30" s="21" t="s">
        <v>259</v>
      </c>
      <c r="K30" s="12" t="s">
        <v>14</v>
      </c>
      <c r="L30" s="319">
        <f t="shared" si="14"/>
        <v>12.7</v>
      </c>
      <c r="M30" s="16" t="s">
        <v>631</v>
      </c>
      <c r="N30" s="79">
        <f>IF(K30="NV","",IF(VLOOKUP(M30,'R_Häufigkeit_Faktoren UHR'!$B$4:$I$24,7,FALSE)=0,"",VLOOKUP(M30,'R_Häufigkeit_Faktoren UHR'!$B$4:$I$24,7,FALSE)))</f>
        <v>4</v>
      </c>
      <c r="O30" s="3">
        <f t="shared" si="3"/>
        <v>50.8</v>
      </c>
      <c r="P30" s="325"/>
      <c r="Q30" s="156">
        <f>IF(N30="","",VLOOKUP(J30,Raumgruppen_Leistungswerte!$B$5:$F$35,5,FALSE))</f>
        <v>0</v>
      </c>
      <c r="R30" s="157" t="e">
        <f t="shared" si="4"/>
        <v>#DIV/0!</v>
      </c>
      <c r="S30" s="445" t="e">
        <f t="shared" si="5"/>
        <v>#DIV/0!</v>
      </c>
      <c r="T30" s="78" t="str">
        <f>IF(K30="NV","",IF(VLOOKUP(M30,'R_Häufigkeit_Faktoren UHR'!$B$4:$I$24,8,FALSE)=0,"",VLOOKUP(M30,'R_Häufigkeit_Faktoren UHR'!$B$4:$I$24,8,FALSE)))</f>
        <v/>
      </c>
      <c r="U30" s="156" t="str">
        <f t="shared" si="6"/>
        <v/>
      </c>
      <c r="V30" s="427"/>
      <c r="W30" s="12" t="str">
        <f>IF(T30="","",VLOOKUP(J30,Raumgruppen_Leistungswerte!$B$5:$F$35,5,FALSE))</f>
        <v/>
      </c>
      <c r="X30" s="156" t="str">
        <f t="shared" si="7"/>
        <v/>
      </c>
      <c r="Y30" s="446" t="str">
        <f t="shared" si="8"/>
        <v/>
      </c>
      <c r="Z30" s="158">
        <f t="shared" si="11"/>
        <v>50.8</v>
      </c>
      <c r="AA30" s="23" t="e">
        <f t="shared" si="12"/>
        <v>#DIV/0!</v>
      </c>
      <c r="AB30" s="445" t="e">
        <f t="shared" si="13"/>
        <v>#DIV/0!</v>
      </c>
      <c r="AC30" s="123"/>
    </row>
    <row r="31" spans="1:29" ht="12" customHeight="1">
      <c r="A31" s="11">
        <v>27</v>
      </c>
      <c r="B31" s="12" t="s">
        <v>271</v>
      </c>
      <c r="C31" s="17">
        <v>-2</v>
      </c>
      <c r="D31" s="19" t="s">
        <v>272</v>
      </c>
      <c r="E31" s="17"/>
      <c r="F31" s="18" t="s">
        <v>325</v>
      </c>
      <c r="G31" s="319">
        <v>32</v>
      </c>
      <c r="H31" s="19" t="s">
        <v>320</v>
      </c>
      <c r="I31" s="20" t="s">
        <v>275</v>
      </c>
      <c r="J31" s="21" t="s">
        <v>238</v>
      </c>
      <c r="K31" s="12" t="s">
        <v>14</v>
      </c>
      <c r="L31" s="319">
        <f t="shared" si="14"/>
        <v>32</v>
      </c>
      <c r="M31" s="22">
        <v>5</v>
      </c>
      <c r="N31" s="79">
        <f>IF(K31="NV","",IF(VLOOKUP(M31,'R_Häufigkeit_Faktoren UHR'!$B$4:$I$24,7,FALSE)=0,"",VLOOKUP(M31,'R_Häufigkeit_Faktoren UHR'!$B$4:$I$24,7,FALSE)))</f>
        <v>20.917857142857144</v>
      </c>
      <c r="O31" s="3">
        <f t="shared" si="3"/>
        <v>669.37142857142862</v>
      </c>
      <c r="P31" s="325"/>
      <c r="Q31" s="156">
        <f>IF(N31="","",VLOOKUP(J31,Raumgruppen_Leistungswerte!$B$5:$F$35,5,FALSE))</f>
        <v>0</v>
      </c>
      <c r="R31" s="157" t="e">
        <f t="shared" si="4"/>
        <v>#DIV/0!</v>
      </c>
      <c r="S31" s="445" t="e">
        <f t="shared" si="5"/>
        <v>#DIV/0!</v>
      </c>
      <c r="T31" s="78" t="str">
        <f>IF(K31="NV","",IF(VLOOKUP(M31,'R_Häufigkeit_Faktoren UHR'!$B$4:$I$24,8,FALSE)=0,"",VLOOKUP(M31,'R_Häufigkeit_Faktoren UHR'!$B$4:$I$24,8,FALSE)))</f>
        <v/>
      </c>
      <c r="U31" s="156" t="str">
        <f t="shared" si="6"/>
        <v/>
      </c>
      <c r="V31" s="427"/>
      <c r="W31" s="12" t="str">
        <f>IF(T31="","",VLOOKUP(J31,Raumgruppen_Leistungswerte!$B$5:$F$35,5,FALSE))</f>
        <v/>
      </c>
      <c r="X31" s="156" t="str">
        <f t="shared" si="7"/>
        <v/>
      </c>
      <c r="Y31" s="446" t="str">
        <f t="shared" si="8"/>
        <v/>
      </c>
      <c r="Z31" s="158">
        <f t="shared" si="11"/>
        <v>669.37142857142862</v>
      </c>
      <c r="AA31" s="23" t="e">
        <f t="shared" si="12"/>
        <v>#DIV/0!</v>
      </c>
      <c r="AB31" s="445" t="e">
        <f t="shared" si="13"/>
        <v>#DIV/0!</v>
      </c>
      <c r="AC31" s="123"/>
    </row>
    <row r="32" spans="1:29" ht="12" customHeight="1">
      <c r="A32" s="11">
        <v>28</v>
      </c>
      <c r="B32" s="12" t="s">
        <v>271</v>
      </c>
      <c r="C32" s="17">
        <v>-2</v>
      </c>
      <c r="D32" s="19" t="s">
        <v>272</v>
      </c>
      <c r="E32" s="17"/>
      <c r="F32" s="18" t="s">
        <v>326</v>
      </c>
      <c r="G32" s="319">
        <v>10.199999999999999</v>
      </c>
      <c r="H32" s="19" t="s">
        <v>327</v>
      </c>
      <c r="I32" s="20" t="s">
        <v>328</v>
      </c>
      <c r="J32" s="21" t="s">
        <v>286</v>
      </c>
      <c r="K32" s="12" t="s">
        <v>173</v>
      </c>
      <c r="L32" s="319" t="str">
        <f t="shared" si="14"/>
        <v/>
      </c>
      <c r="M32" s="22"/>
      <c r="N32" s="79" t="str">
        <f>IF(K32="NV","",IF(VLOOKUP(M32,'R_Häufigkeit_Faktoren UHR'!$B$4:$I$24,7,FALSE)=0,"",VLOOKUP(M32,'R_Häufigkeit_Faktoren UHR'!$B$4:$I$24,7,FALSE)))</f>
        <v/>
      </c>
      <c r="O32" s="3" t="str">
        <f t="shared" si="3"/>
        <v/>
      </c>
      <c r="P32" s="325"/>
      <c r="Q32" s="156" t="str">
        <f>IF(N32="","",VLOOKUP(J32,Raumgruppen_Leistungswerte!$B$5:$F$35,5,FALSE))</f>
        <v/>
      </c>
      <c r="R32" s="157" t="str">
        <f t="shared" si="4"/>
        <v/>
      </c>
      <c r="S32" s="445" t="str">
        <f t="shared" si="5"/>
        <v/>
      </c>
      <c r="T32" s="78" t="str">
        <f>IF(K32="NV","",IF(VLOOKUP(M32,'R_Häufigkeit_Faktoren UHR'!$B$4:$I$24,8,FALSE)=0,"",VLOOKUP(M32,'R_Häufigkeit_Faktoren UHR'!$B$4:$I$24,8,FALSE)))</f>
        <v/>
      </c>
      <c r="U32" s="156" t="str">
        <f t="shared" si="6"/>
        <v/>
      </c>
      <c r="V32" s="427"/>
      <c r="W32" s="12" t="str">
        <f>IF(T32="","",VLOOKUP(J32,Raumgruppen_Leistungswerte!$B$5:$F$35,5,FALSE))</f>
        <v/>
      </c>
      <c r="X32" s="156" t="str">
        <f t="shared" si="7"/>
        <v/>
      </c>
      <c r="Y32" s="446" t="str">
        <f t="shared" si="8"/>
        <v/>
      </c>
      <c r="Z32" s="158" t="str">
        <f t="shared" si="11"/>
        <v/>
      </c>
      <c r="AA32" s="23" t="str">
        <f t="shared" si="12"/>
        <v/>
      </c>
      <c r="AB32" s="445" t="str">
        <f t="shared" si="13"/>
        <v/>
      </c>
      <c r="AC32" s="123"/>
    </row>
    <row r="33" spans="1:29" ht="12" customHeight="1">
      <c r="A33" s="11">
        <v>29</v>
      </c>
      <c r="B33" s="12" t="s">
        <v>271</v>
      </c>
      <c r="C33" s="17">
        <v>-2</v>
      </c>
      <c r="D33" s="19" t="s">
        <v>272</v>
      </c>
      <c r="E33" s="17"/>
      <c r="F33" s="18" t="s">
        <v>329</v>
      </c>
      <c r="G33" s="319">
        <v>14.1</v>
      </c>
      <c r="H33" s="19" t="s">
        <v>330</v>
      </c>
      <c r="I33" s="20" t="s">
        <v>275</v>
      </c>
      <c r="J33" s="21" t="s">
        <v>2</v>
      </c>
      <c r="K33" s="12" t="s">
        <v>173</v>
      </c>
      <c r="L33" s="333" t="str">
        <f t="shared" si="14"/>
        <v/>
      </c>
      <c r="M33" s="22"/>
      <c r="N33" s="79" t="str">
        <f>IF(K33="NV","",IF(VLOOKUP(M33,'R_Häufigkeit_Faktoren UHR'!$B$4:$I$24,7,FALSE)=0,"",VLOOKUP(M33,'R_Häufigkeit_Faktoren UHR'!$B$4:$I$24,7,FALSE)))</f>
        <v/>
      </c>
      <c r="O33" s="3" t="str">
        <f t="shared" si="3"/>
        <v/>
      </c>
      <c r="P33" s="325"/>
      <c r="Q33" s="156" t="str">
        <f>IF(N33="","",VLOOKUP(J33,Raumgruppen_Leistungswerte!$B$5:$F$35,5,FALSE))</f>
        <v/>
      </c>
      <c r="R33" s="157" t="str">
        <f t="shared" si="4"/>
        <v/>
      </c>
      <c r="S33" s="445" t="str">
        <f t="shared" si="5"/>
        <v/>
      </c>
      <c r="T33" s="78" t="str">
        <f>IF(K33="NV","",IF(VLOOKUP(M33,'R_Häufigkeit_Faktoren UHR'!$B$4:$I$24,8,FALSE)=0,"",VLOOKUP(M33,'R_Häufigkeit_Faktoren UHR'!$B$4:$I$24,8,FALSE)))</f>
        <v/>
      </c>
      <c r="U33" s="156" t="str">
        <f t="shared" si="6"/>
        <v/>
      </c>
      <c r="V33" s="427"/>
      <c r="W33" s="12" t="str">
        <f>IF(T33="","",VLOOKUP(J33,Raumgruppen_Leistungswerte!$B$5:$F$35,5,FALSE))</f>
        <v/>
      </c>
      <c r="X33" s="156" t="str">
        <f t="shared" si="7"/>
        <v/>
      </c>
      <c r="Y33" s="446" t="str">
        <f t="shared" si="8"/>
        <v/>
      </c>
      <c r="Z33" s="158" t="str">
        <f t="shared" si="11"/>
        <v/>
      </c>
      <c r="AA33" s="23" t="str">
        <f t="shared" si="12"/>
        <v/>
      </c>
      <c r="AB33" s="445" t="str">
        <f t="shared" si="13"/>
        <v/>
      </c>
      <c r="AC33" s="123"/>
    </row>
    <row r="34" spans="1:29" ht="12" customHeight="1">
      <c r="A34" s="11">
        <v>30</v>
      </c>
      <c r="B34" s="12" t="s">
        <v>271</v>
      </c>
      <c r="C34" s="17">
        <v>-2</v>
      </c>
      <c r="D34" s="19" t="s">
        <v>287</v>
      </c>
      <c r="E34" s="17"/>
      <c r="F34" s="18" t="s">
        <v>331</v>
      </c>
      <c r="G34" s="319">
        <v>16.8</v>
      </c>
      <c r="H34" s="19" t="s">
        <v>332</v>
      </c>
      <c r="I34" s="20" t="s">
        <v>275</v>
      </c>
      <c r="J34" s="21" t="s">
        <v>286</v>
      </c>
      <c r="K34" s="12" t="s">
        <v>173</v>
      </c>
      <c r="L34" s="319" t="str">
        <f t="shared" si="14"/>
        <v/>
      </c>
      <c r="M34" s="22"/>
      <c r="N34" s="79" t="str">
        <f>IF(K34="NV","",IF(VLOOKUP(M34,'R_Häufigkeit_Faktoren UHR'!$B$4:$I$24,7,FALSE)=0,"",VLOOKUP(M34,'R_Häufigkeit_Faktoren UHR'!$B$4:$I$24,7,FALSE)))</f>
        <v/>
      </c>
      <c r="O34" s="3" t="str">
        <f t="shared" si="3"/>
        <v/>
      </c>
      <c r="P34" s="325"/>
      <c r="Q34" s="156" t="str">
        <f>IF(N34="","",VLOOKUP(J34,Raumgruppen_Leistungswerte!$B$5:$F$35,5,FALSE))</f>
        <v/>
      </c>
      <c r="R34" s="157" t="str">
        <f t="shared" si="4"/>
        <v/>
      </c>
      <c r="S34" s="445" t="str">
        <f t="shared" si="5"/>
        <v/>
      </c>
      <c r="T34" s="78" t="str">
        <f>IF(K34="NV","",IF(VLOOKUP(M34,'R_Häufigkeit_Faktoren UHR'!$B$4:$I$24,8,FALSE)=0,"",VLOOKUP(M34,'R_Häufigkeit_Faktoren UHR'!$B$4:$I$24,8,FALSE)))</f>
        <v/>
      </c>
      <c r="U34" s="156" t="str">
        <f t="shared" si="6"/>
        <v/>
      </c>
      <c r="V34" s="427"/>
      <c r="W34" s="12" t="str">
        <f>IF(T34="","",VLOOKUP(J34,Raumgruppen_Leistungswerte!$B$5:$F$35,5,FALSE))</f>
        <v/>
      </c>
      <c r="X34" s="156" t="str">
        <f t="shared" si="7"/>
        <v/>
      </c>
      <c r="Y34" s="446" t="str">
        <f t="shared" si="8"/>
        <v/>
      </c>
      <c r="Z34" s="158" t="str">
        <f t="shared" si="11"/>
        <v/>
      </c>
      <c r="AA34" s="23" t="str">
        <f t="shared" si="12"/>
        <v/>
      </c>
      <c r="AB34" s="445" t="str">
        <f t="shared" si="13"/>
        <v/>
      </c>
      <c r="AC34" s="123"/>
    </row>
    <row r="35" spans="1:29" ht="12" customHeight="1">
      <c r="A35" s="11">
        <v>31</v>
      </c>
      <c r="B35" s="12" t="s">
        <v>271</v>
      </c>
      <c r="C35" s="17">
        <v>-2</v>
      </c>
      <c r="D35" s="19" t="s">
        <v>272</v>
      </c>
      <c r="E35" s="17"/>
      <c r="F35" s="18" t="s">
        <v>333</v>
      </c>
      <c r="G35" s="319">
        <v>20.3</v>
      </c>
      <c r="H35" s="19" t="s">
        <v>334</v>
      </c>
      <c r="I35" s="20" t="s">
        <v>335</v>
      </c>
      <c r="J35" s="21" t="s">
        <v>240</v>
      </c>
      <c r="K35" s="12" t="s">
        <v>14</v>
      </c>
      <c r="L35" s="319">
        <f t="shared" si="14"/>
        <v>20.3</v>
      </c>
      <c r="M35" s="22">
        <v>3</v>
      </c>
      <c r="N35" s="79">
        <f>IF(K35="NV","",IF(VLOOKUP(M35,'R_Häufigkeit_Faktoren UHR'!$B$4:$I$24,7,FALSE)=0,"",VLOOKUP(M35,'R_Häufigkeit_Faktoren UHR'!$B$4:$I$24,7,FALSE)))</f>
        <v>13.035714285714286</v>
      </c>
      <c r="O35" s="3">
        <f t="shared" si="3"/>
        <v>264.625</v>
      </c>
      <c r="P35" s="325"/>
      <c r="Q35" s="156">
        <f>IF(N35="","",VLOOKUP(J35,Raumgruppen_Leistungswerte!$B$5:$F$35,5,FALSE))</f>
        <v>0</v>
      </c>
      <c r="R35" s="157" t="e">
        <f t="shared" si="4"/>
        <v>#DIV/0!</v>
      </c>
      <c r="S35" s="445" t="e">
        <f t="shared" si="5"/>
        <v>#DIV/0!</v>
      </c>
      <c r="T35" s="78" t="str">
        <f>IF(K35="NV","",IF(VLOOKUP(M35,'R_Häufigkeit_Faktoren UHR'!$B$4:$I$24,8,FALSE)=0,"",VLOOKUP(M35,'R_Häufigkeit_Faktoren UHR'!$B$4:$I$24,8,FALSE)))</f>
        <v/>
      </c>
      <c r="U35" s="156" t="str">
        <f t="shared" si="6"/>
        <v/>
      </c>
      <c r="V35" s="427"/>
      <c r="W35" s="12" t="str">
        <f>IF(T35="","",VLOOKUP(J35,Raumgruppen_Leistungswerte!$B$5:$F$35,5,FALSE))</f>
        <v/>
      </c>
      <c r="X35" s="156" t="str">
        <f t="shared" si="7"/>
        <v/>
      </c>
      <c r="Y35" s="446" t="str">
        <f t="shared" si="8"/>
        <v/>
      </c>
      <c r="Z35" s="158">
        <f t="shared" si="11"/>
        <v>264.625</v>
      </c>
      <c r="AA35" s="23" t="e">
        <f t="shared" si="12"/>
        <v>#DIV/0!</v>
      </c>
      <c r="AB35" s="445" t="e">
        <f t="shared" si="13"/>
        <v>#DIV/0!</v>
      </c>
      <c r="AC35" s="123"/>
    </row>
    <row r="36" spans="1:29" ht="12" customHeight="1">
      <c r="A36" s="11">
        <v>32</v>
      </c>
      <c r="B36" s="12" t="s">
        <v>271</v>
      </c>
      <c r="C36" s="17">
        <v>-2</v>
      </c>
      <c r="D36" s="19" t="s">
        <v>287</v>
      </c>
      <c r="E36" s="17"/>
      <c r="F36" s="18" t="s">
        <v>336</v>
      </c>
      <c r="G36" s="319">
        <v>15.4</v>
      </c>
      <c r="H36" s="19" t="s">
        <v>337</v>
      </c>
      <c r="I36" s="20" t="s">
        <v>335</v>
      </c>
      <c r="J36" s="21" t="s">
        <v>240</v>
      </c>
      <c r="K36" s="12" t="s">
        <v>14</v>
      </c>
      <c r="L36" s="319">
        <f t="shared" si="14"/>
        <v>15.4</v>
      </c>
      <c r="M36" s="22">
        <v>3</v>
      </c>
      <c r="N36" s="79">
        <f>IF(K36="NV","",IF(VLOOKUP(M36,'R_Häufigkeit_Faktoren UHR'!$B$4:$I$24,7,FALSE)=0,"",VLOOKUP(M36,'R_Häufigkeit_Faktoren UHR'!$B$4:$I$24,7,FALSE)))</f>
        <v>13.035714285714286</v>
      </c>
      <c r="O36" s="3">
        <f t="shared" si="3"/>
        <v>200.75000000000003</v>
      </c>
      <c r="P36" s="325"/>
      <c r="Q36" s="156">
        <f>IF(N36="","",VLOOKUP(J36,Raumgruppen_Leistungswerte!$B$5:$F$35,5,FALSE))</f>
        <v>0</v>
      </c>
      <c r="R36" s="157" t="e">
        <f t="shared" si="4"/>
        <v>#DIV/0!</v>
      </c>
      <c r="S36" s="445" t="e">
        <f t="shared" si="5"/>
        <v>#DIV/0!</v>
      </c>
      <c r="T36" s="78" t="str">
        <f>IF(K36="NV","",IF(VLOOKUP(M36,'R_Häufigkeit_Faktoren UHR'!$B$4:$I$24,8,FALSE)=0,"",VLOOKUP(M36,'R_Häufigkeit_Faktoren UHR'!$B$4:$I$24,8,FALSE)))</f>
        <v/>
      </c>
      <c r="U36" s="156" t="str">
        <f t="shared" si="6"/>
        <v/>
      </c>
      <c r="V36" s="427"/>
      <c r="W36" s="12" t="str">
        <f>IF(T36="","",VLOOKUP(J36,Raumgruppen_Leistungswerte!$B$5:$F$35,5,FALSE))</f>
        <v/>
      </c>
      <c r="X36" s="156" t="str">
        <f t="shared" si="7"/>
        <v/>
      </c>
      <c r="Y36" s="446" t="str">
        <f t="shared" si="8"/>
        <v/>
      </c>
      <c r="Z36" s="158">
        <f t="shared" si="11"/>
        <v>200.75000000000003</v>
      </c>
      <c r="AA36" s="23" t="e">
        <f t="shared" si="12"/>
        <v>#DIV/0!</v>
      </c>
      <c r="AB36" s="445" t="e">
        <f t="shared" si="13"/>
        <v>#DIV/0!</v>
      </c>
      <c r="AC36" s="123"/>
    </row>
    <row r="37" spans="1:29" ht="12" customHeight="1">
      <c r="A37" s="11">
        <v>33</v>
      </c>
      <c r="B37" s="12" t="s">
        <v>271</v>
      </c>
      <c r="C37" s="17">
        <v>-2</v>
      </c>
      <c r="D37" s="19" t="s">
        <v>272</v>
      </c>
      <c r="E37" s="17"/>
      <c r="F37" s="18" t="s">
        <v>338</v>
      </c>
      <c r="G37" s="319">
        <v>16.7</v>
      </c>
      <c r="H37" s="19" t="s">
        <v>279</v>
      </c>
      <c r="I37" s="20" t="s">
        <v>335</v>
      </c>
      <c r="J37" s="21" t="s">
        <v>240</v>
      </c>
      <c r="K37" s="12" t="s">
        <v>14</v>
      </c>
      <c r="L37" s="319">
        <f t="shared" si="14"/>
        <v>16.7</v>
      </c>
      <c r="M37" s="22">
        <v>5</v>
      </c>
      <c r="N37" s="79">
        <f>IF(K37="NV","",IF(VLOOKUP(M37,'R_Häufigkeit_Faktoren UHR'!$B$4:$I$24,7,FALSE)=0,"",VLOOKUP(M37,'R_Häufigkeit_Faktoren UHR'!$B$4:$I$24,7,FALSE)))</f>
        <v>20.917857142857144</v>
      </c>
      <c r="O37" s="3">
        <f t="shared" si="3"/>
        <v>349.3282142857143</v>
      </c>
      <c r="P37" s="325"/>
      <c r="Q37" s="156">
        <f>IF(N37="","",VLOOKUP(J37,Raumgruppen_Leistungswerte!$B$5:$F$35,5,FALSE))</f>
        <v>0</v>
      </c>
      <c r="R37" s="157" t="e">
        <f t="shared" si="4"/>
        <v>#DIV/0!</v>
      </c>
      <c r="S37" s="445" t="e">
        <f t="shared" si="5"/>
        <v>#DIV/0!</v>
      </c>
      <c r="T37" s="78" t="str">
        <f>IF(K37="NV","",IF(VLOOKUP(M37,'R_Häufigkeit_Faktoren UHR'!$B$4:$I$24,8,FALSE)=0,"",VLOOKUP(M37,'R_Häufigkeit_Faktoren UHR'!$B$4:$I$24,8,FALSE)))</f>
        <v/>
      </c>
      <c r="U37" s="156" t="str">
        <f t="shared" si="6"/>
        <v/>
      </c>
      <c r="V37" s="427"/>
      <c r="W37" s="12" t="str">
        <f>IF(T37="","",VLOOKUP(J37,Raumgruppen_Leistungswerte!$B$5:$F$35,5,FALSE))</f>
        <v/>
      </c>
      <c r="X37" s="156" t="str">
        <f t="shared" si="7"/>
        <v/>
      </c>
      <c r="Y37" s="446" t="str">
        <f t="shared" si="8"/>
        <v/>
      </c>
      <c r="Z37" s="158">
        <f t="shared" si="11"/>
        <v>349.3282142857143</v>
      </c>
      <c r="AA37" s="23" t="e">
        <f t="shared" si="12"/>
        <v>#DIV/0!</v>
      </c>
      <c r="AB37" s="445" t="e">
        <f t="shared" si="13"/>
        <v>#DIV/0!</v>
      </c>
      <c r="AC37" s="123"/>
    </row>
    <row r="38" spans="1:29" ht="12" customHeight="1">
      <c r="A38" s="11">
        <v>34</v>
      </c>
      <c r="B38" s="12" t="s">
        <v>271</v>
      </c>
      <c r="C38" s="17">
        <v>-2</v>
      </c>
      <c r="D38" s="19" t="s">
        <v>287</v>
      </c>
      <c r="E38" s="17"/>
      <c r="F38" s="18" t="s">
        <v>339</v>
      </c>
      <c r="G38" s="319">
        <v>28.7</v>
      </c>
      <c r="H38" s="19" t="s">
        <v>337</v>
      </c>
      <c r="I38" s="20" t="s">
        <v>335</v>
      </c>
      <c r="J38" s="21" t="s">
        <v>240</v>
      </c>
      <c r="K38" s="12" t="s">
        <v>14</v>
      </c>
      <c r="L38" s="319">
        <f t="shared" si="14"/>
        <v>28.7</v>
      </c>
      <c r="M38" s="22">
        <v>3</v>
      </c>
      <c r="N38" s="79">
        <f>IF(K38="NV","",IF(VLOOKUP(M38,'R_Häufigkeit_Faktoren UHR'!$B$4:$I$24,7,FALSE)=0,"",VLOOKUP(M38,'R_Häufigkeit_Faktoren UHR'!$B$4:$I$24,7,FALSE)))</f>
        <v>13.035714285714286</v>
      </c>
      <c r="O38" s="3">
        <f t="shared" si="3"/>
        <v>374.125</v>
      </c>
      <c r="P38" s="325"/>
      <c r="Q38" s="156">
        <f>IF(N38="","",VLOOKUP(J38,Raumgruppen_Leistungswerte!$B$5:$F$35,5,FALSE))</f>
        <v>0</v>
      </c>
      <c r="R38" s="157" t="e">
        <f t="shared" si="4"/>
        <v>#DIV/0!</v>
      </c>
      <c r="S38" s="445" t="e">
        <f t="shared" si="5"/>
        <v>#DIV/0!</v>
      </c>
      <c r="T38" s="78" t="str">
        <f>IF(K38="NV","",IF(VLOOKUP(M38,'R_Häufigkeit_Faktoren UHR'!$B$4:$I$24,8,FALSE)=0,"",VLOOKUP(M38,'R_Häufigkeit_Faktoren UHR'!$B$4:$I$24,8,FALSE)))</f>
        <v/>
      </c>
      <c r="U38" s="156" t="str">
        <f t="shared" si="6"/>
        <v/>
      </c>
      <c r="V38" s="427"/>
      <c r="W38" s="12" t="str">
        <f>IF(T38="","",VLOOKUP(J38,Raumgruppen_Leistungswerte!$B$5:$F$35,5,FALSE))</f>
        <v/>
      </c>
      <c r="X38" s="156" t="str">
        <f t="shared" si="7"/>
        <v/>
      </c>
      <c r="Y38" s="446" t="str">
        <f t="shared" si="8"/>
        <v/>
      </c>
      <c r="Z38" s="158">
        <f t="shared" si="11"/>
        <v>374.125</v>
      </c>
      <c r="AA38" s="23" t="e">
        <f t="shared" si="12"/>
        <v>#DIV/0!</v>
      </c>
      <c r="AB38" s="445" t="e">
        <f t="shared" si="13"/>
        <v>#DIV/0!</v>
      </c>
      <c r="AC38" s="123"/>
    </row>
    <row r="39" spans="1:29" ht="12" customHeight="1">
      <c r="A39" s="11">
        <v>35</v>
      </c>
      <c r="B39" s="12" t="s">
        <v>271</v>
      </c>
      <c r="C39" s="17">
        <v>-2</v>
      </c>
      <c r="D39" s="19" t="s">
        <v>272</v>
      </c>
      <c r="E39" s="17"/>
      <c r="F39" s="18" t="s">
        <v>340</v>
      </c>
      <c r="G39" s="319">
        <v>23.8</v>
      </c>
      <c r="H39" s="19" t="s">
        <v>334</v>
      </c>
      <c r="I39" s="14" t="s">
        <v>335</v>
      </c>
      <c r="J39" s="21" t="s">
        <v>240</v>
      </c>
      <c r="K39" s="12" t="s">
        <v>14</v>
      </c>
      <c r="L39" s="319">
        <f t="shared" si="14"/>
        <v>23.8</v>
      </c>
      <c r="M39" s="22">
        <v>3</v>
      </c>
      <c r="N39" s="79">
        <f>IF(K39="NV","",IF(VLOOKUP(M39,'R_Häufigkeit_Faktoren UHR'!$B$4:$I$24,7,FALSE)=0,"",VLOOKUP(M39,'R_Häufigkeit_Faktoren UHR'!$B$4:$I$24,7,FALSE)))</f>
        <v>13.035714285714286</v>
      </c>
      <c r="O39" s="3">
        <f t="shared" si="3"/>
        <v>310.25</v>
      </c>
      <c r="P39" s="325"/>
      <c r="Q39" s="156">
        <f>IF(N39="","",VLOOKUP(J39,Raumgruppen_Leistungswerte!$B$5:$F$35,5,FALSE))</f>
        <v>0</v>
      </c>
      <c r="R39" s="157" t="e">
        <f t="shared" si="4"/>
        <v>#DIV/0!</v>
      </c>
      <c r="S39" s="445" t="e">
        <f t="shared" si="5"/>
        <v>#DIV/0!</v>
      </c>
      <c r="T39" s="78" t="str">
        <f>IF(K39="NV","",IF(VLOOKUP(M39,'R_Häufigkeit_Faktoren UHR'!$B$4:$I$24,8,FALSE)=0,"",VLOOKUP(M39,'R_Häufigkeit_Faktoren UHR'!$B$4:$I$24,8,FALSE)))</f>
        <v/>
      </c>
      <c r="U39" s="156" t="str">
        <f t="shared" si="6"/>
        <v/>
      </c>
      <c r="V39" s="427"/>
      <c r="W39" s="12" t="str">
        <f>IF(T39="","",VLOOKUP(J39,Raumgruppen_Leistungswerte!$B$5:$F$35,5,FALSE))</f>
        <v/>
      </c>
      <c r="X39" s="156" t="str">
        <f t="shared" si="7"/>
        <v/>
      </c>
      <c r="Y39" s="446" t="str">
        <f t="shared" si="8"/>
        <v/>
      </c>
      <c r="Z39" s="158">
        <f t="shared" si="11"/>
        <v>310.25</v>
      </c>
      <c r="AA39" s="23" t="e">
        <f t="shared" si="12"/>
        <v>#DIV/0!</v>
      </c>
      <c r="AB39" s="445" t="e">
        <f t="shared" si="13"/>
        <v>#DIV/0!</v>
      </c>
      <c r="AC39" s="123"/>
    </row>
    <row r="40" spans="1:29" ht="12" customHeight="1">
      <c r="A40" s="11">
        <v>36</v>
      </c>
      <c r="B40" s="12" t="s">
        <v>271</v>
      </c>
      <c r="C40" s="17">
        <v>-2</v>
      </c>
      <c r="D40" s="19" t="s">
        <v>287</v>
      </c>
      <c r="E40" s="17"/>
      <c r="F40" s="18" t="s">
        <v>341</v>
      </c>
      <c r="G40" s="319">
        <v>18.2</v>
      </c>
      <c r="H40" s="19" t="s">
        <v>337</v>
      </c>
      <c r="I40" s="20" t="s">
        <v>335</v>
      </c>
      <c r="J40" s="21" t="s">
        <v>240</v>
      </c>
      <c r="K40" s="12" t="s">
        <v>14</v>
      </c>
      <c r="L40" s="319">
        <f t="shared" si="14"/>
        <v>18.2</v>
      </c>
      <c r="M40" s="22">
        <v>3</v>
      </c>
      <c r="N40" s="79">
        <f>IF(K40="NV","",IF(VLOOKUP(M40,'R_Häufigkeit_Faktoren UHR'!$B$4:$I$24,7,FALSE)=0,"",VLOOKUP(M40,'R_Häufigkeit_Faktoren UHR'!$B$4:$I$24,7,FALSE)))</f>
        <v>13.035714285714286</v>
      </c>
      <c r="O40" s="3">
        <f t="shared" si="3"/>
        <v>237.25</v>
      </c>
      <c r="P40" s="325"/>
      <c r="Q40" s="156">
        <f>IF(N40="","",VLOOKUP(J40,Raumgruppen_Leistungswerte!$B$5:$F$35,5,FALSE))</f>
        <v>0</v>
      </c>
      <c r="R40" s="157" t="e">
        <f t="shared" si="4"/>
        <v>#DIV/0!</v>
      </c>
      <c r="S40" s="445" t="e">
        <f t="shared" si="5"/>
        <v>#DIV/0!</v>
      </c>
      <c r="T40" s="78" t="str">
        <f>IF(K40="NV","",IF(VLOOKUP(M40,'R_Häufigkeit_Faktoren UHR'!$B$4:$I$24,8,FALSE)=0,"",VLOOKUP(M40,'R_Häufigkeit_Faktoren UHR'!$B$4:$I$24,8,FALSE)))</f>
        <v/>
      </c>
      <c r="U40" s="156" t="str">
        <f t="shared" si="6"/>
        <v/>
      </c>
      <c r="V40" s="427"/>
      <c r="W40" s="12" t="str">
        <f>IF(T40="","",VLOOKUP(J40,Raumgruppen_Leistungswerte!$B$5:$F$35,5,FALSE))</f>
        <v/>
      </c>
      <c r="X40" s="156" t="str">
        <f t="shared" si="7"/>
        <v/>
      </c>
      <c r="Y40" s="446" t="str">
        <f t="shared" si="8"/>
        <v/>
      </c>
      <c r="Z40" s="158">
        <f t="shared" si="11"/>
        <v>237.25</v>
      </c>
      <c r="AA40" s="23" t="e">
        <f t="shared" si="12"/>
        <v>#DIV/0!</v>
      </c>
      <c r="AB40" s="445" t="e">
        <f t="shared" si="13"/>
        <v>#DIV/0!</v>
      </c>
      <c r="AC40" s="123"/>
    </row>
    <row r="41" spans="1:29" ht="12" customHeight="1">
      <c r="A41" s="11">
        <v>37</v>
      </c>
      <c r="B41" s="12" t="s">
        <v>271</v>
      </c>
      <c r="C41" s="17">
        <v>-2</v>
      </c>
      <c r="D41" s="19" t="s">
        <v>272</v>
      </c>
      <c r="E41" s="17"/>
      <c r="F41" s="18" t="s">
        <v>342</v>
      </c>
      <c r="G41" s="319">
        <v>7</v>
      </c>
      <c r="H41" s="19" t="s">
        <v>279</v>
      </c>
      <c r="I41" s="20" t="s">
        <v>335</v>
      </c>
      <c r="J41" s="21" t="s">
        <v>240</v>
      </c>
      <c r="K41" s="12" t="s">
        <v>14</v>
      </c>
      <c r="L41" s="319">
        <f t="shared" si="14"/>
        <v>7</v>
      </c>
      <c r="M41" s="22">
        <v>5</v>
      </c>
      <c r="N41" s="79">
        <f>IF(K41="NV","",IF(VLOOKUP(M41,'R_Häufigkeit_Faktoren UHR'!$B$4:$I$24,7,FALSE)=0,"",VLOOKUP(M41,'R_Häufigkeit_Faktoren UHR'!$B$4:$I$24,7,FALSE)))</f>
        <v>20.917857142857144</v>
      </c>
      <c r="O41" s="3">
        <f t="shared" si="3"/>
        <v>146.42500000000001</v>
      </c>
      <c r="P41" s="325"/>
      <c r="Q41" s="156">
        <f>IF(N41="","",VLOOKUP(J41,Raumgruppen_Leistungswerte!$B$5:$F$35,5,FALSE))</f>
        <v>0</v>
      </c>
      <c r="R41" s="157" t="e">
        <f t="shared" si="4"/>
        <v>#DIV/0!</v>
      </c>
      <c r="S41" s="445" t="e">
        <f t="shared" si="5"/>
        <v>#DIV/0!</v>
      </c>
      <c r="T41" s="78" t="str">
        <f>IF(K41="NV","",IF(VLOOKUP(M41,'R_Häufigkeit_Faktoren UHR'!$B$4:$I$24,8,FALSE)=0,"",VLOOKUP(M41,'R_Häufigkeit_Faktoren UHR'!$B$4:$I$24,8,FALSE)))</f>
        <v/>
      </c>
      <c r="U41" s="156" t="str">
        <f t="shared" si="6"/>
        <v/>
      </c>
      <c r="V41" s="427"/>
      <c r="W41" s="12" t="str">
        <f>IF(T41="","",VLOOKUP(J41,Raumgruppen_Leistungswerte!$B$5:$F$35,5,FALSE))</f>
        <v/>
      </c>
      <c r="X41" s="156" t="str">
        <f t="shared" si="7"/>
        <v/>
      </c>
      <c r="Y41" s="446" t="str">
        <f t="shared" si="8"/>
        <v/>
      </c>
      <c r="Z41" s="158">
        <f t="shared" si="11"/>
        <v>146.42500000000001</v>
      </c>
      <c r="AA41" s="23" t="e">
        <f t="shared" si="12"/>
        <v>#DIV/0!</v>
      </c>
      <c r="AB41" s="445" t="e">
        <f t="shared" si="13"/>
        <v>#DIV/0!</v>
      </c>
      <c r="AC41" s="123"/>
    </row>
    <row r="42" spans="1:29" ht="12" customHeight="1">
      <c r="A42" s="11">
        <v>38</v>
      </c>
      <c r="B42" s="12" t="s">
        <v>271</v>
      </c>
      <c r="C42" s="17">
        <v>-2</v>
      </c>
      <c r="D42" s="19" t="s">
        <v>272</v>
      </c>
      <c r="E42" s="17"/>
      <c r="F42" s="18" t="s">
        <v>343</v>
      </c>
      <c r="G42" s="319">
        <v>2889.3</v>
      </c>
      <c r="H42" s="19" t="s">
        <v>344</v>
      </c>
      <c r="I42" s="20" t="s">
        <v>275</v>
      </c>
      <c r="J42" s="21" t="s">
        <v>259</v>
      </c>
      <c r="K42" s="12" t="s">
        <v>173</v>
      </c>
      <c r="L42" s="319" t="str">
        <f t="shared" si="14"/>
        <v/>
      </c>
      <c r="M42" s="16" t="s">
        <v>122</v>
      </c>
      <c r="N42" s="79" t="str">
        <f>IF(K42="NV","",IF(VLOOKUP(M42,'R_Häufigkeit_Faktoren UHR'!$B$4:$I$24,7,FALSE)=0,"",VLOOKUP(M42,'R_Häufigkeit_Faktoren UHR'!$B$4:$I$24,7,FALSE)))</f>
        <v/>
      </c>
      <c r="O42" s="3" t="str">
        <f t="shared" si="3"/>
        <v/>
      </c>
      <c r="P42" s="325"/>
      <c r="Q42" s="156" t="str">
        <f>IF(N42="","",VLOOKUP(J42,Raumgruppen_Leistungswerte!$B$5:$F$35,5,FALSE))</f>
        <v/>
      </c>
      <c r="R42" s="157" t="str">
        <f t="shared" si="4"/>
        <v/>
      </c>
      <c r="S42" s="445" t="str">
        <f t="shared" si="5"/>
        <v/>
      </c>
      <c r="T42" s="78" t="str">
        <f>IF(K42="NV","",IF(VLOOKUP(M42,'R_Häufigkeit_Faktoren UHR'!$B$4:$I$24,8,FALSE)=0,"",VLOOKUP(M42,'R_Häufigkeit_Faktoren UHR'!$B$4:$I$24,8,FALSE)))</f>
        <v/>
      </c>
      <c r="U42" s="156" t="str">
        <f t="shared" si="6"/>
        <v/>
      </c>
      <c r="V42" s="427"/>
      <c r="W42" s="12" t="str">
        <f>IF(T42="","",VLOOKUP(J42,Raumgruppen_Leistungswerte!$B$5:$F$35,5,FALSE))</f>
        <v/>
      </c>
      <c r="X42" s="156" t="str">
        <f t="shared" si="7"/>
        <v/>
      </c>
      <c r="Y42" s="446" t="str">
        <f t="shared" si="8"/>
        <v/>
      </c>
      <c r="Z42" s="158" t="str">
        <f t="shared" si="11"/>
        <v/>
      </c>
      <c r="AA42" s="23" t="str">
        <f t="shared" si="12"/>
        <v/>
      </c>
      <c r="AB42" s="445" t="str">
        <f t="shared" si="13"/>
        <v/>
      </c>
      <c r="AC42" s="123"/>
    </row>
    <row r="43" spans="1:29" ht="12" customHeight="1">
      <c r="A43" s="11">
        <v>39</v>
      </c>
      <c r="B43" s="12" t="s">
        <v>271</v>
      </c>
      <c r="C43" s="17">
        <v>-2</v>
      </c>
      <c r="D43" s="19" t="s">
        <v>272</v>
      </c>
      <c r="E43" s="17"/>
      <c r="F43" s="18" t="s">
        <v>345</v>
      </c>
      <c r="G43" s="319">
        <v>34.200000000000003</v>
      </c>
      <c r="H43" s="19" t="s">
        <v>334</v>
      </c>
      <c r="I43" s="20" t="s">
        <v>335</v>
      </c>
      <c r="J43" s="21" t="s">
        <v>240</v>
      </c>
      <c r="K43" s="12" t="s">
        <v>14</v>
      </c>
      <c r="L43" s="319">
        <f t="shared" si="14"/>
        <v>34.200000000000003</v>
      </c>
      <c r="M43" s="22">
        <v>3</v>
      </c>
      <c r="N43" s="79">
        <f>IF(K43="NV","",IF(VLOOKUP(M43,'R_Häufigkeit_Faktoren UHR'!$B$4:$I$24,7,FALSE)=0,"",VLOOKUP(M43,'R_Häufigkeit_Faktoren UHR'!$B$4:$I$24,7,FALSE)))</f>
        <v>13.035714285714286</v>
      </c>
      <c r="O43" s="3">
        <f t="shared" si="3"/>
        <v>445.82142857142861</v>
      </c>
      <c r="P43" s="325"/>
      <c r="Q43" s="156">
        <f>IF(N43="","",VLOOKUP(J43,Raumgruppen_Leistungswerte!$B$5:$F$35,5,FALSE))</f>
        <v>0</v>
      </c>
      <c r="R43" s="157" t="e">
        <f t="shared" si="4"/>
        <v>#DIV/0!</v>
      </c>
      <c r="S43" s="445" t="e">
        <f t="shared" si="5"/>
        <v>#DIV/0!</v>
      </c>
      <c r="T43" s="78" t="str">
        <f>IF(K43="NV","",IF(VLOOKUP(M43,'R_Häufigkeit_Faktoren UHR'!$B$4:$I$24,8,FALSE)=0,"",VLOOKUP(M43,'R_Häufigkeit_Faktoren UHR'!$B$4:$I$24,8,FALSE)))</f>
        <v/>
      </c>
      <c r="U43" s="156" t="str">
        <f t="shared" si="6"/>
        <v/>
      </c>
      <c r="V43" s="427"/>
      <c r="W43" s="12" t="str">
        <f>IF(T43="","",VLOOKUP(J43,Raumgruppen_Leistungswerte!$B$5:$F$35,5,FALSE))</f>
        <v/>
      </c>
      <c r="X43" s="156" t="str">
        <f t="shared" si="7"/>
        <v/>
      </c>
      <c r="Y43" s="446" t="str">
        <f t="shared" si="8"/>
        <v/>
      </c>
      <c r="Z43" s="158">
        <f t="shared" si="11"/>
        <v>445.82142857142861</v>
      </c>
      <c r="AA43" s="23" t="e">
        <f t="shared" si="12"/>
        <v>#DIV/0!</v>
      </c>
      <c r="AB43" s="445" t="e">
        <f t="shared" si="13"/>
        <v>#DIV/0!</v>
      </c>
      <c r="AC43" s="123"/>
    </row>
    <row r="44" spans="1:29" ht="12" customHeight="1">
      <c r="A44" s="11">
        <v>40</v>
      </c>
      <c r="B44" s="12" t="s">
        <v>271</v>
      </c>
      <c r="C44" s="17">
        <v>-2</v>
      </c>
      <c r="D44" s="19" t="s">
        <v>287</v>
      </c>
      <c r="E44" s="17"/>
      <c r="F44" s="18" t="s">
        <v>346</v>
      </c>
      <c r="G44" s="319">
        <v>3.9</v>
      </c>
      <c r="H44" s="19" t="s">
        <v>337</v>
      </c>
      <c r="I44" s="14" t="s">
        <v>335</v>
      </c>
      <c r="J44" s="21" t="s">
        <v>240</v>
      </c>
      <c r="K44" s="12" t="s">
        <v>14</v>
      </c>
      <c r="L44" s="319">
        <f t="shared" si="14"/>
        <v>3.9</v>
      </c>
      <c r="M44" s="22">
        <v>3</v>
      </c>
      <c r="N44" s="79">
        <f>IF(K44="NV","",IF(VLOOKUP(M44,'R_Häufigkeit_Faktoren UHR'!$B$4:$I$24,7,FALSE)=0,"",VLOOKUP(M44,'R_Häufigkeit_Faktoren UHR'!$B$4:$I$24,7,FALSE)))</f>
        <v>13.035714285714286</v>
      </c>
      <c r="O44" s="3">
        <f t="shared" si="3"/>
        <v>50.839285714285715</v>
      </c>
      <c r="P44" s="325"/>
      <c r="Q44" s="156">
        <f>IF(N44="","",VLOOKUP(J44,Raumgruppen_Leistungswerte!$B$5:$F$35,5,FALSE))</f>
        <v>0</v>
      </c>
      <c r="R44" s="157" t="e">
        <f t="shared" si="4"/>
        <v>#DIV/0!</v>
      </c>
      <c r="S44" s="445" t="e">
        <f t="shared" si="5"/>
        <v>#DIV/0!</v>
      </c>
      <c r="T44" s="78" t="str">
        <f>IF(K44="NV","",IF(VLOOKUP(M44,'R_Häufigkeit_Faktoren UHR'!$B$4:$I$24,8,FALSE)=0,"",VLOOKUP(M44,'R_Häufigkeit_Faktoren UHR'!$B$4:$I$24,8,FALSE)))</f>
        <v/>
      </c>
      <c r="U44" s="156" t="str">
        <f t="shared" si="6"/>
        <v/>
      </c>
      <c r="V44" s="427"/>
      <c r="W44" s="12" t="str">
        <f>IF(T44="","",VLOOKUP(J44,Raumgruppen_Leistungswerte!$B$5:$F$35,5,FALSE))</f>
        <v/>
      </c>
      <c r="X44" s="156" t="str">
        <f t="shared" si="7"/>
        <v/>
      </c>
      <c r="Y44" s="446" t="str">
        <f t="shared" si="8"/>
        <v/>
      </c>
      <c r="Z44" s="158">
        <f t="shared" si="11"/>
        <v>50.839285714285715</v>
      </c>
      <c r="AA44" s="23" t="e">
        <f t="shared" si="12"/>
        <v>#DIV/0!</v>
      </c>
      <c r="AB44" s="445" t="e">
        <f t="shared" si="13"/>
        <v>#DIV/0!</v>
      </c>
      <c r="AC44" s="123"/>
    </row>
    <row r="45" spans="1:29" ht="12" customHeight="1">
      <c r="A45" s="11">
        <v>41</v>
      </c>
      <c r="B45" s="12" t="s">
        <v>271</v>
      </c>
      <c r="C45" s="17">
        <v>-1</v>
      </c>
      <c r="D45" s="19" t="s">
        <v>287</v>
      </c>
      <c r="E45" s="17"/>
      <c r="F45" s="18" t="s">
        <v>276</v>
      </c>
      <c r="G45" s="319" t="s">
        <v>347</v>
      </c>
      <c r="H45" s="19" t="s">
        <v>287</v>
      </c>
      <c r="I45" s="14"/>
      <c r="J45" s="21" t="s">
        <v>286</v>
      </c>
      <c r="K45" s="12" t="s">
        <v>173</v>
      </c>
      <c r="L45" s="319" t="str">
        <f t="shared" si="14"/>
        <v/>
      </c>
      <c r="M45" s="22"/>
      <c r="N45" s="79" t="str">
        <f>IF(K45="NV","",IF(VLOOKUP(M45,'R_Häufigkeit_Faktoren UHR'!$B$4:$I$24,7,FALSE)=0,"",VLOOKUP(M45,'R_Häufigkeit_Faktoren UHR'!$B$4:$I$24,7,FALSE)))</f>
        <v/>
      </c>
      <c r="O45" s="3" t="str">
        <f t="shared" si="3"/>
        <v/>
      </c>
      <c r="P45" s="325"/>
      <c r="Q45" s="156" t="str">
        <f>IF(N45="","",VLOOKUP(J45,Raumgruppen_Leistungswerte!$B$5:$F$35,5,FALSE))</f>
        <v/>
      </c>
      <c r="R45" s="157" t="str">
        <f t="shared" si="4"/>
        <v/>
      </c>
      <c r="S45" s="445" t="str">
        <f t="shared" si="5"/>
        <v/>
      </c>
      <c r="T45" s="78" t="str">
        <f>IF(K45="NV","",IF(VLOOKUP(M45,'R_Häufigkeit_Faktoren UHR'!$B$4:$I$24,8,FALSE)=0,"",VLOOKUP(M45,'R_Häufigkeit_Faktoren UHR'!$B$4:$I$24,8,FALSE)))</f>
        <v/>
      </c>
      <c r="U45" s="156" t="str">
        <f t="shared" si="6"/>
        <v/>
      </c>
      <c r="V45" s="427"/>
      <c r="W45" s="12" t="str">
        <f>IF(T45="","",VLOOKUP(J45,Raumgruppen_Leistungswerte!$B$5:$F$35,5,FALSE))</f>
        <v/>
      </c>
      <c r="X45" s="156" t="str">
        <f t="shared" si="7"/>
        <v/>
      </c>
      <c r="Y45" s="446" t="str">
        <f t="shared" si="8"/>
        <v/>
      </c>
      <c r="Z45" s="158" t="str">
        <f t="shared" si="11"/>
        <v/>
      </c>
      <c r="AA45" s="23" t="str">
        <f t="shared" si="12"/>
        <v/>
      </c>
      <c r="AB45" s="445" t="str">
        <f t="shared" si="13"/>
        <v/>
      </c>
      <c r="AC45" s="123"/>
    </row>
    <row r="46" spans="1:29" ht="12" customHeight="1">
      <c r="A46" s="11">
        <v>42</v>
      </c>
      <c r="B46" s="12" t="s">
        <v>271</v>
      </c>
      <c r="C46" s="17">
        <v>-1</v>
      </c>
      <c r="D46" s="19" t="s">
        <v>287</v>
      </c>
      <c r="E46" s="17"/>
      <c r="F46" s="18" t="s">
        <v>278</v>
      </c>
      <c r="G46" s="319">
        <v>20.8</v>
      </c>
      <c r="H46" s="19" t="s">
        <v>287</v>
      </c>
      <c r="I46" s="14"/>
      <c r="J46" s="21" t="s">
        <v>286</v>
      </c>
      <c r="K46" s="12" t="s">
        <v>173</v>
      </c>
      <c r="L46" s="319" t="str">
        <f t="shared" si="14"/>
        <v/>
      </c>
      <c r="M46" s="22"/>
      <c r="N46" s="79" t="str">
        <f>IF(K46="NV","",IF(VLOOKUP(M46,'R_Häufigkeit_Faktoren UHR'!$B$4:$I$24,7,FALSE)=0,"",VLOOKUP(M46,'R_Häufigkeit_Faktoren UHR'!$B$4:$I$24,7,FALSE)))</f>
        <v/>
      </c>
      <c r="O46" s="3" t="str">
        <f t="shared" si="3"/>
        <v/>
      </c>
      <c r="P46" s="325"/>
      <c r="Q46" s="156" t="str">
        <f>IF(N46="","",VLOOKUP(J46,Raumgruppen_Leistungswerte!$B$5:$F$35,5,FALSE))</f>
        <v/>
      </c>
      <c r="R46" s="157" t="str">
        <f t="shared" si="4"/>
        <v/>
      </c>
      <c r="S46" s="445" t="str">
        <f t="shared" si="5"/>
        <v/>
      </c>
      <c r="T46" s="78" t="str">
        <f>IF(K46="NV","",IF(VLOOKUP(M46,'R_Häufigkeit_Faktoren UHR'!$B$4:$I$24,8,FALSE)=0,"",VLOOKUP(M46,'R_Häufigkeit_Faktoren UHR'!$B$4:$I$24,8,FALSE)))</f>
        <v/>
      </c>
      <c r="U46" s="156" t="str">
        <f t="shared" si="6"/>
        <v/>
      </c>
      <c r="V46" s="427"/>
      <c r="W46" s="12" t="str">
        <f>IF(T46="","",VLOOKUP(J46,Raumgruppen_Leistungswerte!$B$5:$F$35,5,FALSE))</f>
        <v/>
      </c>
      <c r="X46" s="156" t="str">
        <f t="shared" si="7"/>
        <v/>
      </c>
      <c r="Y46" s="446" t="str">
        <f t="shared" si="8"/>
        <v/>
      </c>
      <c r="Z46" s="158" t="str">
        <f t="shared" si="11"/>
        <v/>
      </c>
      <c r="AA46" s="23" t="str">
        <f t="shared" si="12"/>
        <v/>
      </c>
      <c r="AB46" s="445" t="str">
        <f t="shared" si="13"/>
        <v/>
      </c>
      <c r="AC46" s="123"/>
    </row>
    <row r="47" spans="1:29" ht="12" customHeight="1">
      <c r="A47" s="11">
        <v>43</v>
      </c>
      <c r="B47" s="12" t="s">
        <v>271</v>
      </c>
      <c r="C47" s="17">
        <v>-1</v>
      </c>
      <c r="D47" s="19" t="s">
        <v>287</v>
      </c>
      <c r="E47" s="17"/>
      <c r="F47" s="18" t="s">
        <v>280</v>
      </c>
      <c r="G47" s="319">
        <v>8.6999999999999993</v>
      </c>
      <c r="H47" s="19" t="s">
        <v>348</v>
      </c>
      <c r="I47" s="20"/>
      <c r="J47" s="21" t="s">
        <v>286</v>
      </c>
      <c r="K47" s="12" t="s">
        <v>173</v>
      </c>
      <c r="L47" s="319" t="str">
        <f t="shared" si="14"/>
        <v/>
      </c>
      <c r="M47" s="22"/>
      <c r="N47" s="79" t="str">
        <f>IF(K47="NV","",IF(VLOOKUP(M47,'R_Häufigkeit_Faktoren UHR'!$B$4:$I$24,7,FALSE)=0,"",VLOOKUP(M47,'R_Häufigkeit_Faktoren UHR'!$B$4:$I$24,7,FALSE)))</f>
        <v/>
      </c>
      <c r="O47" s="3" t="str">
        <f t="shared" si="3"/>
        <v/>
      </c>
      <c r="P47" s="325"/>
      <c r="Q47" s="156" t="str">
        <f>IF(N47="","",VLOOKUP(J47,Raumgruppen_Leistungswerte!$B$5:$F$35,5,FALSE))</f>
        <v/>
      </c>
      <c r="R47" s="157" t="str">
        <f t="shared" si="4"/>
        <v/>
      </c>
      <c r="S47" s="445" t="str">
        <f t="shared" si="5"/>
        <v/>
      </c>
      <c r="T47" s="78" t="str">
        <f>IF(K47="NV","",IF(VLOOKUP(M47,'R_Häufigkeit_Faktoren UHR'!$B$4:$I$24,8,FALSE)=0,"",VLOOKUP(M47,'R_Häufigkeit_Faktoren UHR'!$B$4:$I$24,8,FALSE)))</f>
        <v/>
      </c>
      <c r="U47" s="156" t="str">
        <f t="shared" si="6"/>
        <v/>
      </c>
      <c r="V47" s="427"/>
      <c r="W47" s="12" t="str">
        <f>IF(T47="","",VLOOKUP(J47,Raumgruppen_Leistungswerte!$B$5:$F$35,5,FALSE))</f>
        <v/>
      </c>
      <c r="X47" s="156" t="str">
        <f t="shared" si="7"/>
        <v/>
      </c>
      <c r="Y47" s="446" t="str">
        <f t="shared" si="8"/>
        <v/>
      </c>
      <c r="Z47" s="158" t="str">
        <f t="shared" ref="Z47:Z241" si="15">IF(U47="",O47,O47+U47)</f>
        <v/>
      </c>
      <c r="AA47" s="23" t="str">
        <f t="shared" ref="AA47:AA241" si="16">IF(X47="",R47,X47+R47)</f>
        <v/>
      </c>
      <c r="AB47" s="445" t="str">
        <f t="shared" ref="AB47:AB241" si="17">IF(Y47="",S47,S47+Y47)</f>
        <v/>
      </c>
      <c r="AC47" s="123"/>
    </row>
    <row r="48" spans="1:29" ht="12" customHeight="1">
      <c r="A48" s="11">
        <v>44</v>
      </c>
      <c r="B48" s="12" t="s">
        <v>271</v>
      </c>
      <c r="C48" s="17">
        <v>-1</v>
      </c>
      <c r="D48" s="19" t="s">
        <v>287</v>
      </c>
      <c r="E48" s="17"/>
      <c r="F48" s="18" t="s">
        <v>283</v>
      </c>
      <c r="G48" s="319">
        <v>19.3</v>
      </c>
      <c r="H48" s="19" t="s">
        <v>349</v>
      </c>
      <c r="I48" s="20"/>
      <c r="J48" s="21" t="s">
        <v>286</v>
      </c>
      <c r="K48" s="12" t="s">
        <v>173</v>
      </c>
      <c r="L48" s="319" t="str">
        <f t="shared" si="14"/>
        <v/>
      </c>
      <c r="M48" s="22"/>
      <c r="N48" s="79" t="str">
        <f>IF(K48="NV","",IF(VLOOKUP(M48,'R_Häufigkeit_Faktoren UHR'!$B$4:$I$24,7,FALSE)=0,"",VLOOKUP(M48,'R_Häufigkeit_Faktoren UHR'!$B$4:$I$24,7,FALSE)))</f>
        <v/>
      </c>
      <c r="O48" s="3" t="str">
        <f t="shared" si="3"/>
        <v/>
      </c>
      <c r="P48" s="325"/>
      <c r="Q48" s="156" t="str">
        <f>IF(N48="","",VLOOKUP(J48,Raumgruppen_Leistungswerte!$B$5:$F$35,5,FALSE))</f>
        <v/>
      </c>
      <c r="R48" s="157" t="str">
        <f t="shared" si="4"/>
        <v/>
      </c>
      <c r="S48" s="445" t="str">
        <f t="shared" si="5"/>
        <v/>
      </c>
      <c r="T48" s="78" t="str">
        <f>IF(K48="NV","",IF(VLOOKUP(M48,'R_Häufigkeit_Faktoren UHR'!$B$4:$I$24,8,FALSE)=0,"",VLOOKUP(M48,'R_Häufigkeit_Faktoren UHR'!$B$4:$I$24,8,FALSE)))</f>
        <v/>
      </c>
      <c r="U48" s="156" t="str">
        <f t="shared" si="6"/>
        <v/>
      </c>
      <c r="V48" s="427"/>
      <c r="W48" s="12" t="str">
        <f>IF(T48="","",VLOOKUP(J48,Raumgruppen_Leistungswerte!$B$5:$F$35,5,FALSE))</f>
        <v/>
      </c>
      <c r="X48" s="156" t="str">
        <f t="shared" si="7"/>
        <v/>
      </c>
      <c r="Y48" s="446" t="str">
        <f t="shared" si="8"/>
        <v/>
      </c>
      <c r="Z48" s="158" t="str">
        <f t="shared" si="15"/>
        <v/>
      </c>
      <c r="AA48" s="23" t="str">
        <f t="shared" si="16"/>
        <v/>
      </c>
      <c r="AB48" s="445" t="str">
        <f t="shared" si="17"/>
        <v/>
      </c>
      <c r="AC48" s="123"/>
    </row>
    <row r="49" spans="1:29" ht="12" customHeight="1">
      <c r="A49" s="11">
        <v>45</v>
      </c>
      <c r="B49" s="12" t="s">
        <v>271</v>
      </c>
      <c r="C49" s="17">
        <v>-1</v>
      </c>
      <c r="D49" s="19" t="s">
        <v>287</v>
      </c>
      <c r="E49" s="17"/>
      <c r="F49" s="18" t="s">
        <v>288</v>
      </c>
      <c r="G49" s="319">
        <v>14.5</v>
      </c>
      <c r="H49" s="19" t="s">
        <v>350</v>
      </c>
      <c r="I49" s="20"/>
      <c r="J49" s="21" t="s">
        <v>286</v>
      </c>
      <c r="K49" s="12" t="s">
        <v>173</v>
      </c>
      <c r="L49" s="319" t="str">
        <f t="shared" si="14"/>
        <v/>
      </c>
      <c r="M49" s="315"/>
      <c r="N49" s="79" t="str">
        <f>IF(K49="NV","",IF(VLOOKUP(M49,'R_Häufigkeit_Faktoren UHR'!$B$4:$I$24,7,FALSE)=0,"",VLOOKUP(M49,'R_Häufigkeit_Faktoren UHR'!$B$4:$I$24,7,FALSE)))</f>
        <v/>
      </c>
      <c r="O49" s="3" t="str">
        <f t="shared" si="3"/>
        <v/>
      </c>
      <c r="P49" s="325"/>
      <c r="Q49" s="156" t="str">
        <f>IF(N49="","",VLOOKUP(J49,Raumgruppen_Leistungswerte!$B$5:$F$35,5,FALSE))</f>
        <v/>
      </c>
      <c r="R49" s="157" t="str">
        <f t="shared" si="4"/>
        <v/>
      </c>
      <c r="S49" s="445" t="str">
        <f t="shared" si="5"/>
        <v/>
      </c>
      <c r="T49" s="78" t="str">
        <f>IF(K49="NV","",IF(VLOOKUP(M49,'R_Häufigkeit_Faktoren UHR'!$B$4:$I$24,8,FALSE)=0,"",VLOOKUP(M49,'R_Häufigkeit_Faktoren UHR'!$B$4:$I$24,8,FALSE)))</f>
        <v/>
      </c>
      <c r="U49" s="156" t="str">
        <f t="shared" si="6"/>
        <v/>
      </c>
      <c r="V49" s="427"/>
      <c r="W49" s="12" t="str">
        <f>IF(T49="","",VLOOKUP(J49,Raumgruppen_Leistungswerte!$B$5:$F$35,5,FALSE))</f>
        <v/>
      </c>
      <c r="X49" s="156" t="str">
        <f t="shared" si="7"/>
        <v/>
      </c>
      <c r="Y49" s="446" t="str">
        <f t="shared" si="8"/>
        <v/>
      </c>
      <c r="Z49" s="158" t="str">
        <f t="shared" si="15"/>
        <v/>
      </c>
      <c r="AA49" s="23" t="str">
        <f t="shared" si="16"/>
        <v/>
      </c>
      <c r="AB49" s="445" t="str">
        <f t="shared" si="17"/>
        <v/>
      </c>
      <c r="AC49" s="123"/>
    </row>
    <row r="50" spans="1:29" ht="12" customHeight="1">
      <c r="A50" s="11">
        <v>46</v>
      </c>
      <c r="B50" s="12" t="s">
        <v>271</v>
      </c>
      <c r="C50" s="17">
        <v>-1</v>
      </c>
      <c r="D50" s="19" t="s">
        <v>287</v>
      </c>
      <c r="E50" s="17"/>
      <c r="F50" s="18" t="s">
        <v>289</v>
      </c>
      <c r="G50" s="319">
        <v>46.8</v>
      </c>
      <c r="H50" s="19" t="s">
        <v>350</v>
      </c>
      <c r="I50" s="20"/>
      <c r="J50" s="21" t="s">
        <v>286</v>
      </c>
      <c r="K50" s="12" t="s">
        <v>173</v>
      </c>
      <c r="L50" s="319" t="str">
        <f t="shared" si="14"/>
        <v/>
      </c>
      <c r="M50" s="315"/>
      <c r="N50" s="79" t="str">
        <f>IF(K50="NV","",IF(VLOOKUP(M50,'R_Häufigkeit_Faktoren UHR'!$B$4:$I$24,7,FALSE)=0,"",VLOOKUP(M50,'R_Häufigkeit_Faktoren UHR'!$B$4:$I$24,7,FALSE)))</f>
        <v/>
      </c>
      <c r="O50" s="3" t="str">
        <f t="shared" si="3"/>
        <v/>
      </c>
      <c r="P50" s="325"/>
      <c r="Q50" s="156" t="str">
        <f>IF(N50="","",VLOOKUP(J50,Raumgruppen_Leistungswerte!$B$5:$F$35,5,FALSE))</f>
        <v/>
      </c>
      <c r="R50" s="157" t="str">
        <f t="shared" si="4"/>
        <v/>
      </c>
      <c r="S50" s="445" t="str">
        <f t="shared" si="5"/>
        <v/>
      </c>
      <c r="T50" s="78" t="str">
        <f>IF(K50="NV","",IF(VLOOKUP(M50,'R_Häufigkeit_Faktoren UHR'!$B$4:$I$24,8,FALSE)=0,"",VLOOKUP(M50,'R_Häufigkeit_Faktoren UHR'!$B$4:$I$24,8,FALSE)))</f>
        <v/>
      </c>
      <c r="U50" s="156" t="str">
        <f t="shared" si="6"/>
        <v/>
      </c>
      <c r="V50" s="427"/>
      <c r="W50" s="12" t="str">
        <f>IF(T50="","",VLOOKUP(J50,Raumgruppen_Leistungswerte!$B$5:$F$35,5,FALSE))</f>
        <v/>
      </c>
      <c r="X50" s="156" t="str">
        <f t="shared" si="7"/>
        <v/>
      </c>
      <c r="Y50" s="446" t="str">
        <f t="shared" si="8"/>
        <v/>
      </c>
      <c r="Z50" s="158" t="str">
        <f t="shared" si="15"/>
        <v/>
      </c>
      <c r="AA50" s="23" t="str">
        <f t="shared" si="16"/>
        <v/>
      </c>
      <c r="AB50" s="445" t="str">
        <f t="shared" si="17"/>
        <v/>
      </c>
      <c r="AC50" s="123"/>
    </row>
    <row r="51" spans="1:29" ht="12" customHeight="1">
      <c r="A51" s="11">
        <v>47</v>
      </c>
      <c r="B51" s="12" t="s">
        <v>271</v>
      </c>
      <c r="C51" s="17">
        <v>-1</v>
      </c>
      <c r="D51" s="19" t="s">
        <v>287</v>
      </c>
      <c r="E51" s="17"/>
      <c r="F51" s="18" t="s">
        <v>290</v>
      </c>
      <c r="G51" s="319">
        <v>69.599999999999994</v>
      </c>
      <c r="H51" s="19" t="s">
        <v>351</v>
      </c>
      <c r="I51" s="20"/>
      <c r="J51" s="21" t="s">
        <v>286</v>
      </c>
      <c r="K51" s="12" t="s">
        <v>173</v>
      </c>
      <c r="L51" s="319" t="str">
        <f t="shared" si="14"/>
        <v/>
      </c>
      <c r="M51" s="315"/>
      <c r="N51" s="79" t="str">
        <f>IF(K51="NV","",IF(VLOOKUP(M51,'R_Häufigkeit_Faktoren UHR'!$B$4:$I$24,7,FALSE)=0,"",VLOOKUP(M51,'R_Häufigkeit_Faktoren UHR'!$B$4:$I$24,7,FALSE)))</f>
        <v/>
      </c>
      <c r="O51" s="3" t="str">
        <f t="shared" si="3"/>
        <v/>
      </c>
      <c r="P51" s="325"/>
      <c r="Q51" s="156" t="str">
        <f>IF(N51="","",VLOOKUP(J51,Raumgruppen_Leistungswerte!$B$5:$F$35,5,FALSE))</f>
        <v/>
      </c>
      <c r="R51" s="157" t="str">
        <f t="shared" si="4"/>
        <v/>
      </c>
      <c r="S51" s="445" t="str">
        <f t="shared" si="5"/>
        <v/>
      </c>
      <c r="T51" s="78" t="str">
        <f>IF(K51="NV","",IF(VLOOKUP(M51,'R_Häufigkeit_Faktoren UHR'!$B$4:$I$24,8,FALSE)=0,"",VLOOKUP(M51,'R_Häufigkeit_Faktoren UHR'!$B$4:$I$24,8,FALSE)))</f>
        <v/>
      </c>
      <c r="U51" s="156" t="str">
        <f t="shared" si="6"/>
        <v/>
      </c>
      <c r="V51" s="427"/>
      <c r="W51" s="12" t="str">
        <f>IF(T51="","",VLOOKUP(J51,Raumgruppen_Leistungswerte!$B$5:$F$35,5,FALSE))</f>
        <v/>
      </c>
      <c r="X51" s="156" t="str">
        <f t="shared" si="7"/>
        <v/>
      </c>
      <c r="Y51" s="446" t="str">
        <f t="shared" si="8"/>
        <v/>
      </c>
      <c r="Z51" s="158" t="str">
        <f t="shared" si="15"/>
        <v/>
      </c>
      <c r="AA51" s="23" t="str">
        <f t="shared" si="16"/>
        <v/>
      </c>
      <c r="AB51" s="445" t="str">
        <f t="shared" si="17"/>
        <v/>
      </c>
      <c r="AC51" s="123"/>
    </row>
    <row r="52" spans="1:29" ht="12" customHeight="1">
      <c r="A52" s="11">
        <v>48</v>
      </c>
      <c r="B52" s="12" t="s">
        <v>271</v>
      </c>
      <c r="C52" s="17">
        <v>-1</v>
      </c>
      <c r="D52" s="19" t="s">
        <v>272</v>
      </c>
      <c r="E52" s="17"/>
      <c r="F52" s="18" t="s">
        <v>352</v>
      </c>
      <c r="G52" s="319">
        <v>34.200000000000003</v>
      </c>
      <c r="H52" s="19" t="s">
        <v>274</v>
      </c>
      <c r="I52" s="20"/>
      <c r="J52" s="21" t="s">
        <v>240</v>
      </c>
      <c r="K52" s="12" t="s">
        <v>14</v>
      </c>
      <c r="L52" s="319">
        <f t="shared" si="14"/>
        <v>34.200000000000003</v>
      </c>
      <c r="M52" s="16" t="s">
        <v>123</v>
      </c>
      <c r="N52" s="79">
        <f>IF(K52="NV","",IF(VLOOKUP(M52,'R_Häufigkeit_Faktoren UHR'!$B$4:$I$24,7,FALSE)=0,"",VLOOKUP(M52,'R_Häufigkeit_Faktoren UHR'!$B$4:$I$24,7,FALSE)))</f>
        <v>1</v>
      </c>
      <c r="O52" s="3">
        <f t="shared" si="3"/>
        <v>34.200000000000003</v>
      </c>
      <c r="P52" s="325"/>
      <c r="Q52" s="156">
        <f>IF(N52="","",VLOOKUP(J52,Raumgruppen_Leistungswerte!$B$5:$F$35,5,FALSE))</f>
        <v>0</v>
      </c>
      <c r="R52" s="157" t="e">
        <f t="shared" si="4"/>
        <v>#DIV/0!</v>
      </c>
      <c r="S52" s="445" t="e">
        <f t="shared" si="5"/>
        <v>#DIV/0!</v>
      </c>
      <c r="T52" s="78" t="str">
        <f>IF(K52="NV","",IF(VLOOKUP(M52,'R_Häufigkeit_Faktoren UHR'!$B$4:$I$24,8,FALSE)=0,"",VLOOKUP(M52,'R_Häufigkeit_Faktoren UHR'!$B$4:$I$24,8,FALSE)))</f>
        <v/>
      </c>
      <c r="U52" s="156" t="str">
        <f t="shared" si="6"/>
        <v/>
      </c>
      <c r="V52" s="427"/>
      <c r="W52" s="12" t="str">
        <f>IF(T52="","",VLOOKUP(J52,Raumgruppen_Leistungswerte!$B$5:$F$35,5,FALSE))</f>
        <v/>
      </c>
      <c r="X52" s="156" t="str">
        <f t="shared" si="7"/>
        <v/>
      </c>
      <c r="Y52" s="446" t="str">
        <f t="shared" si="8"/>
        <v/>
      </c>
      <c r="Z52" s="158">
        <f t="shared" si="15"/>
        <v>34.200000000000003</v>
      </c>
      <c r="AA52" s="23" t="e">
        <f t="shared" si="16"/>
        <v>#DIV/0!</v>
      </c>
      <c r="AB52" s="445" t="e">
        <f t="shared" si="17"/>
        <v>#DIV/0!</v>
      </c>
      <c r="AC52" s="123"/>
    </row>
    <row r="53" spans="1:29" ht="12" customHeight="1">
      <c r="A53" s="11">
        <v>49</v>
      </c>
      <c r="B53" s="12" t="s">
        <v>271</v>
      </c>
      <c r="C53" s="17">
        <v>-1</v>
      </c>
      <c r="D53" s="19" t="s">
        <v>272</v>
      </c>
      <c r="E53" s="17"/>
      <c r="F53" s="18" t="s">
        <v>294</v>
      </c>
      <c r="G53" s="319">
        <v>33</v>
      </c>
      <c r="H53" s="19" t="s">
        <v>353</v>
      </c>
      <c r="I53" s="14"/>
      <c r="J53" s="21" t="s">
        <v>255</v>
      </c>
      <c r="K53" s="12" t="s">
        <v>14</v>
      </c>
      <c r="L53" s="319">
        <f t="shared" si="14"/>
        <v>33</v>
      </c>
      <c r="M53" s="16" t="s">
        <v>123</v>
      </c>
      <c r="N53" s="79">
        <f>IF(K53="NV","",IF(VLOOKUP(M53,'R_Häufigkeit_Faktoren UHR'!$B$4:$I$24,7,FALSE)=0,"",VLOOKUP(M53,'R_Häufigkeit_Faktoren UHR'!$B$4:$I$24,7,FALSE)))</f>
        <v>1</v>
      </c>
      <c r="O53" s="3">
        <f t="shared" si="3"/>
        <v>33</v>
      </c>
      <c r="P53" s="325"/>
      <c r="Q53" s="156">
        <f>IF(N53="","",VLOOKUP(J53,Raumgruppen_Leistungswerte!$B$5:$F$35,5,FALSE))</f>
        <v>0</v>
      </c>
      <c r="R53" s="157" t="e">
        <f t="shared" si="4"/>
        <v>#DIV/0!</v>
      </c>
      <c r="S53" s="445" t="e">
        <f t="shared" si="5"/>
        <v>#DIV/0!</v>
      </c>
      <c r="T53" s="78" t="str">
        <f>IF(K53="NV","",IF(VLOOKUP(M53,'R_Häufigkeit_Faktoren UHR'!$B$4:$I$24,8,FALSE)=0,"",VLOOKUP(M53,'R_Häufigkeit_Faktoren UHR'!$B$4:$I$24,8,FALSE)))</f>
        <v/>
      </c>
      <c r="U53" s="156" t="str">
        <f t="shared" si="6"/>
        <v/>
      </c>
      <c r="V53" s="427"/>
      <c r="W53" s="12" t="str">
        <f>IF(T53="","",VLOOKUP(J53,Raumgruppen_Leistungswerte!$B$5:$F$35,5,FALSE))</f>
        <v/>
      </c>
      <c r="X53" s="156" t="str">
        <f t="shared" si="7"/>
        <v/>
      </c>
      <c r="Y53" s="446" t="str">
        <f t="shared" si="8"/>
        <v/>
      </c>
      <c r="Z53" s="158">
        <f t="shared" si="15"/>
        <v>33</v>
      </c>
      <c r="AA53" s="23" t="e">
        <f t="shared" si="16"/>
        <v>#DIV/0!</v>
      </c>
      <c r="AB53" s="445" t="e">
        <f t="shared" si="17"/>
        <v>#DIV/0!</v>
      </c>
      <c r="AC53" s="123"/>
    </row>
    <row r="54" spans="1:29" ht="12" customHeight="1">
      <c r="A54" s="11">
        <v>50</v>
      </c>
      <c r="B54" s="12" t="s">
        <v>271</v>
      </c>
      <c r="C54" s="17">
        <v>-1</v>
      </c>
      <c r="D54" s="19" t="s">
        <v>272</v>
      </c>
      <c r="E54" s="17"/>
      <c r="F54" s="18" t="s">
        <v>354</v>
      </c>
      <c r="G54" s="319">
        <v>24.9</v>
      </c>
      <c r="H54" s="19" t="s">
        <v>274</v>
      </c>
      <c r="I54" s="14"/>
      <c r="J54" s="21" t="s">
        <v>240</v>
      </c>
      <c r="K54" s="12" t="s">
        <v>14</v>
      </c>
      <c r="L54" s="319">
        <f t="shared" si="14"/>
        <v>24.9</v>
      </c>
      <c r="M54" s="16" t="s">
        <v>123</v>
      </c>
      <c r="N54" s="79">
        <f>IF(K54="NV","",IF(VLOOKUP(M54,'R_Häufigkeit_Faktoren UHR'!$B$4:$I$24,7,FALSE)=0,"",VLOOKUP(M54,'R_Häufigkeit_Faktoren UHR'!$B$4:$I$24,7,FALSE)))</f>
        <v>1</v>
      </c>
      <c r="O54" s="3">
        <f t="shared" si="3"/>
        <v>24.9</v>
      </c>
      <c r="P54" s="325"/>
      <c r="Q54" s="156">
        <f>IF(N54="","",VLOOKUP(J54,Raumgruppen_Leistungswerte!$B$5:$F$35,5,FALSE))</f>
        <v>0</v>
      </c>
      <c r="R54" s="157" t="e">
        <f t="shared" si="4"/>
        <v>#DIV/0!</v>
      </c>
      <c r="S54" s="445" t="e">
        <f t="shared" si="5"/>
        <v>#DIV/0!</v>
      </c>
      <c r="T54" s="78" t="str">
        <f>IF(K54="NV","",IF(VLOOKUP(M54,'R_Häufigkeit_Faktoren UHR'!$B$4:$I$24,8,FALSE)=0,"",VLOOKUP(M54,'R_Häufigkeit_Faktoren UHR'!$B$4:$I$24,8,FALSE)))</f>
        <v/>
      </c>
      <c r="U54" s="156" t="str">
        <f t="shared" si="6"/>
        <v/>
      </c>
      <c r="V54" s="427"/>
      <c r="W54" s="12" t="str">
        <f>IF(T54="","",VLOOKUP(J54,Raumgruppen_Leistungswerte!$B$5:$F$35,5,FALSE))</f>
        <v/>
      </c>
      <c r="X54" s="156" t="str">
        <f t="shared" si="7"/>
        <v/>
      </c>
      <c r="Y54" s="446" t="str">
        <f t="shared" si="8"/>
        <v/>
      </c>
      <c r="Z54" s="158">
        <f t="shared" si="15"/>
        <v>24.9</v>
      </c>
      <c r="AA54" s="23" t="e">
        <f t="shared" si="16"/>
        <v>#DIV/0!</v>
      </c>
      <c r="AB54" s="445" t="e">
        <f t="shared" si="17"/>
        <v>#DIV/0!</v>
      </c>
      <c r="AC54" s="123"/>
    </row>
    <row r="55" spans="1:29" ht="12" customHeight="1">
      <c r="A55" s="11">
        <v>51</v>
      </c>
      <c r="B55" s="12" t="s">
        <v>271</v>
      </c>
      <c r="C55" s="17">
        <v>-1</v>
      </c>
      <c r="D55" s="19" t="s">
        <v>287</v>
      </c>
      <c r="E55" s="17"/>
      <c r="F55" s="18" t="s">
        <v>298</v>
      </c>
      <c r="G55" s="319">
        <v>7.5</v>
      </c>
      <c r="H55" s="19" t="s">
        <v>315</v>
      </c>
      <c r="I55" s="14"/>
      <c r="J55" s="21" t="s">
        <v>286</v>
      </c>
      <c r="K55" s="12" t="s">
        <v>173</v>
      </c>
      <c r="L55" s="319" t="str">
        <f t="shared" si="14"/>
        <v/>
      </c>
      <c r="M55" s="315"/>
      <c r="N55" s="79" t="str">
        <f>IF(K55="NV","",IF(VLOOKUP(M55,'R_Häufigkeit_Faktoren UHR'!$B$4:$I$24,7,FALSE)=0,"",VLOOKUP(M55,'R_Häufigkeit_Faktoren UHR'!$B$4:$I$24,7,FALSE)))</f>
        <v/>
      </c>
      <c r="O55" s="3" t="str">
        <f t="shared" si="3"/>
        <v/>
      </c>
      <c r="P55" s="325"/>
      <c r="Q55" s="156" t="str">
        <f>IF(N55="","",VLOOKUP(J55,Raumgruppen_Leistungswerte!$B$5:$F$35,5,FALSE))</f>
        <v/>
      </c>
      <c r="R55" s="157" t="str">
        <f t="shared" si="4"/>
        <v/>
      </c>
      <c r="S55" s="445" t="str">
        <f t="shared" si="5"/>
        <v/>
      </c>
      <c r="T55" s="78" t="str">
        <f>IF(K55="NV","",IF(VLOOKUP(M55,'R_Häufigkeit_Faktoren UHR'!$B$4:$I$24,8,FALSE)=0,"",VLOOKUP(M55,'R_Häufigkeit_Faktoren UHR'!$B$4:$I$24,8,FALSE)))</f>
        <v/>
      </c>
      <c r="U55" s="156" t="str">
        <f t="shared" si="6"/>
        <v/>
      </c>
      <c r="V55" s="427"/>
      <c r="W55" s="12" t="str">
        <f>IF(T55="","",VLOOKUP(J55,Raumgruppen_Leistungswerte!$B$5:$F$35,5,FALSE))</f>
        <v/>
      </c>
      <c r="X55" s="156" t="str">
        <f t="shared" si="7"/>
        <v/>
      </c>
      <c r="Y55" s="446" t="str">
        <f t="shared" si="8"/>
        <v/>
      </c>
      <c r="Z55" s="158" t="str">
        <f t="shared" si="15"/>
        <v/>
      </c>
      <c r="AA55" s="23" t="str">
        <f t="shared" si="16"/>
        <v/>
      </c>
      <c r="AB55" s="445" t="str">
        <f t="shared" si="17"/>
        <v/>
      </c>
      <c r="AC55" s="123"/>
    </row>
    <row r="56" spans="1:29" ht="12" customHeight="1">
      <c r="A56" s="11">
        <v>52</v>
      </c>
      <c r="B56" s="12" t="s">
        <v>271</v>
      </c>
      <c r="C56" s="17">
        <v>-1</v>
      </c>
      <c r="D56" s="19" t="s">
        <v>287</v>
      </c>
      <c r="E56" s="17"/>
      <c r="F56" s="18" t="s">
        <v>300</v>
      </c>
      <c r="G56" s="319">
        <v>36.1</v>
      </c>
      <c r="H56" s="19" t="s">
        <v>317</v>
      </c>
      <c r="I56" s="14"/>
      <c r="J56" s="21" t="s">
        <v>286</v>
      </c>
      <c r="K56" s="12" t="s">
        <v>173</v>
      </c>
      <c r="L56" s="319" t="str">
        <f t="shared" si="14"/>
        <v/>
      </c>
      <c r="M56" s="315"/>
      <c r="N56" s="79" t="str">
        <f>IF(K56="NV","",IF(VLOOKUP(M56,'R_Häufigkeit_Faktoren UHR'!$B$4:$I$24,7,FALSE)=0,"",VLOOKUP(M56,'R_Häufigkeit_Faktoren UHR'!$B$4:$I$24,7,FALSE)))</f>
        <v/>
      </c>
      <c r="O56" s="3" t="str">
        <f t="shared" si="3"/>
        <v/>
      </c>
      <c r="P56" s="325"/>
      <c r="Q56" s="156" t="str">
        <f>IF(N56="","",VLOOKUP(J56,Raumgruppen_Leistungswerte!$B$5:$F$35,5,FALSE))</f>
        <v/>
      </c>
      <c r="R56" s="157" t="str">
        <f t="shared" si="4"/>
        <v/>
      </c>
      <c r="S56" s="445" t="str">
        <f t="shared" si="5"/>
        <v/>
      </c>
      <c r="T56" s="78" t="str">
        <f>IF(K56="NV","",IF(VLOOKUP(M56,'R_Häufigkeit_Faktoren UHR'!$B$4:$I$24,8,FALSE)=0,"",VLOOKUP(M56,'R_Häufigkeit_Faktoren UHR'!$B$4:$I$24,8,FALSE)))</f>
        <v/>
      </c>
      <c r="U56" s="156" t="str">
        <f t="shared" si="6"/>
        <v/>
      </c>
      <c r="V56" s="427"/>
      <c r="W56" s="12" t="str">
        <f>IF(T56="","",VLOOKUP(J56,Raumgruppen_Leistungswerte!$B$5:$F$35,5,FALSE))</f>
        <v/>
      </c>
      <c r="X56" s="156" t="str">
        <f t="shared" si="7"/>
        <v/>
      </c>
      <c r="Y56" s="446" t="str">
        <f t="shared" si="8"/>
        <v/>
      </c>
      <c r="Z56" s="158" t="str">
        <f t="shared" si="15"/>
        <v/>
      </c>
      <c r="AA56" s="23" t="str">
        <f t="shared" si="16"/>
        <v/>
      </c>
      <c r="AB56" s="445" t="str">
        <f t="shared" si="17"/>
        <v/>
      </c>
      <c r="AC56" s="123"/>
    </row>
    <row r="57" spans="1:29" ht="12" customHeight="1">
      <c r="A57" s="11">
        <v>53</v>
      </c>
      <c r="B57" s="12" t="s">
        <v>271</v>
      </c>
      <c r="C57" s="17">
        <v>-1</v>
      </c>
      <c r="D57" s="19" t="s">
        <v>272</v>
      </c>
      <c r="E57" s="17"/>
      <c r="F57" s="18" t="s">
        <v>355</v>
      </c>
      <c r="G57" s="319">
        <v>33.4</v>
      </c>
      <c r="H57" s="19" t="s">
        <v>353</v>
      </c>
      <c r="I57" s="20"/>
      <c r="J57" s="21" t="s">
        <v>255</v>
      </c>
      <c r="K57" s="12" t="s">
        <v>14</v>
      </c>
      <c r="L57" s="319">
        <f t="shared" si="14"/>
        <v>33.4</v>
      </c>
      <c r="M57" s="16" t="s">
        <v>123</v>
      </c>
      <c r="N57" s="79">
        <f>IF(K57="NV","",IF(VLOOKUP(M57,'R_Häufigkeit_Faktoren UHR'!$B$4:$I$24,7,FALSE)=0,"",VLOOKUP(M57,'R_Häufigkeit_Faktoren UHR'!$B$4:$I$24,7,FALSE)))</f>
        <v>1</v>
      </c>
      <c r="O57" s="3">
        <f t="shared" si="3"/>
        <v>33.4</v>
      </c>
      <c r="P57" s="325"/>
      <c r="Q57" s="156">
        <f>IF(N57="","",VLOOKUP(J57,Raumgruppen_Leistungswerte!$B$5:$F$35,5,FALSE))</f>
        <v>0</v>
      </c>
      <c r="R57" s="157" t="e">
        <f t="shared" si="4"/>
        <v>#DIV/0!</v>
      </c>
      <c r="S57" s="445" t="e">
        <f t="shared" si="5"/>
        <v>#DIV/0!</v>
      </c>
      <c r="T57" s="78" t="str">
        <f>IF(K57="NV","",IF(VLOOKUP(M57,'R_Häufigkeit_Faktoren UHR'!$B$4:$I$24,8,FALSE)=0,"",VLOOKUP(M57,'R_Häufigkeit_Faktoren UHR'!$B$4:$I$24,8,FALSE)))</f>
        <v/>
      </c>
      <c r="U57" s="156" t="str">
        <f t="shared" si="6"/>
        <v/>
      </c>
      <c r="V57" s="427"/>
      <c r="W57" s="12" t="str">
        <f>IF(T57="","",VLOOKUP(J57,Raumgruppen_Leistungswerte!$B$5:$F$35,5,FALSE))</f>
        <v/>
      </c>
      <c r="X57" s="156" t="str">
        <f t="shared" si="7"/>
        <v/>
      </c>
      <c r="Y57" s="446" t="str">
        <f t="shared" si="8"/>
        <v/>
      </c>
      <c r="Z57" s="158">
        <f t="shared" si="15"/>
        <v>33.4</v>
      </c>
      <c r="AA57" s="23" t="e">
        <f t="shared" si="16"/>
        <v>#DIV/0!</v>
      </c>
      <c r="AB57" s="445" t="e">
        <f t="shared" si="17"/>
        <v>#DIV/0!</v>
      </c>
      <c r="AC57" s="123"/>
    </row>
    <row r="58" spans="1:29" ht="12" customHeight="1">
      <c r="A58" s="11">
        <v>54</v>
      </c>
      <c r="B58" s="12" t="s">
        <v>271</v>
      </c>
      <c r="C58" s="17">
        <v>-1</v>
      </c>
      <c r="D58" s="19" t="s">
        <v>272</v>
      </c>
      <c r="E58" s="17"/>
      <c r="F58" s="18" t="s">
        <v>326</v>
      </c>
      <c r="G58" s="319">
        <v>17.100000000000001</v>
      </c>
      <c r="H58" s="19" t="s">
        <v>353</v>
      </c>
      <c r="I58" s="20"/>
      <c r="J58" s="15" t="s">
        <v>255</v>
      </c>
      <c r="K58" s="12" t="s">
        <v>14</v>
      </c>
      <c r="L58" s="319">
        <f t="shared" si="14"/>
        <v>17.100000000000001</v>
      </c>
      <c r="M58" s="16" t="s">
        <v>123</v>
      </c>
      <c r="N58" s="79">
        <f>IF(K58="NV","",IF(VLOOKUP(M58,'R_Häufigkeit_Faktoren UHR'!$B$4:$I$24,7,FALSE)=0,"",VLOOKUP(M58,'R_Häufigkeit_Faktoren UHR'!$B$4:$I$24,7,FALSE)))</f>
        <v>1</v>
      </c>
      <c r="O58" s="3">
        <f t="shared" si="3"/>
        <v>17.100000000000001</v>
      </c>
      <c r="P58" s="325"/>
      <c r="Q58" s="156">
        <f>IF(N58="","",VLOOKUP(J58,Raumgruppen_Leistungswerte!$B$5:$F$35,5,FALSE))</f>
        <v>0</v>
      </c>
      <c r="R58" s="157" t="e">
        <f t="shared" si="4"/>
        <v>#DIV/0!</v>
      </c>
      <c r="S58" s="445" t="e">
        <f t="shared" si="5"/>
        <v>#DIV/0!</v>
      </c>
      <c r="T58" s="78" t="str">
        <f>IF(K58="NV","",IF(VLOOKUP(M58,'R_Häufigkeit_Faktoren UHR'!$B$4:$I$24,8,FALSE)=0,"",VLOOKUP(M58,'R_Häufigkeit_Faktoren UHR'!$B$4:$I$24,8,FALSE)))</f>
        <v/>
      </c>
      <c r="U58" s="156" t="str">
        <f t="shared" si="6"/>
        <v/>
      </c>
      <c r="V58" s="427"/>
      <c r="W58" s="12" t="str">
        <f>IF(T58="","",VLOOKUP(J58,Raumgruppen_Leistungswerte!$B$5:$F$35,5,FALSE))</f>
        <v/>
      </c>
      <c r="X58" s="156" t="str">
        <f t="shared" si="7"/>
        <v/>
      </c>
      <c r="Y58" s="446" t="str">
        <f t="shared" si="8"/>
        <v/>
      </c>
      <c r="Z58" s="158">
        <f t="shared" si="15"/>
        <v>17.100000000000001</v>
      </c>
      <c r="AA58" s="23" t="e">
        <f t="shared" si="16"/>
        <v>#DIV/0!</v>
      </c>
      <c r="AB58" s="445" t="e">
        <f t="shared" si="17"/>
        <v>#DIV/0!</v>
      </c>
      <c r="AC58" s="123"/>
    </row>
    <row r="59" spans="1:29" ht="12" customHeight="1">
      <c r="A59" s="11">
        <v>55</v>
      </c>
      <c r="B59" s="12" t="s">
        <v>271</v>
      </c>
      <c r="C59" s="17">
        <v>-1</v>
      </c>
      <c r="D59" s="19" t="s">
        <v>287</v>
      </c>
      <c r="E59" s="17"/>
      <c r="F59" s="18" t="s">
        <v>356</v>
      </c>
      <c r="G59" s="319">
        <v>6.7</v>
      </c>
      <c r="H59" s="19" t="s">
        <v>351</v>
      </c>
      <c r="I59" s="20"/>
      <c r="J59" s="21" t="s">
        <v>286</v>
      </c>
      <c r="K59" s="12" t="s">
        <v>173</v>
      </c>
      <c r="L59" s="319" t="str">
        <f t="shared" si="14"/>
        <v/>
      </c>
      <c r="M59" s="315"/>
      <c r="N59" s="79" t="str">
        <f>IF(K59="NV","",IF(VLOOKUP(M59,'R_Häufigkeit_Faktoren UHR'!$B$4:$I$24,7,FALSE)=0,"",VLOOKUP(M59,'R_Häufigkeit_Faktoren UHR'!$B$4:$I$24,7,FALSE)))</f>
        <v/>
      </c>
      <c r="O59" s="3" t="str">
        <f t="shared" si="3"/>
        <v/>
      </c>
      <c r="P59" s="325"/>
      <c r="Q59" s="156" t="str">
        <f>IF(N59="","",VLOOKUP(J59,Raumgruppen_Leistungswerte!$B$5:$F$35,5,FALSE))</f>
        <v/>
      </c>
      <c r="R59" s="157" t="str">
        <f t="shared" si="4"/>
        <v/>
      </c>
      <c r="S59" s="445" t="str">
        <f t="shared" si="5"/>
        <v/>
      </c>
      <c r="T59" s="78" t="str">
        <f>IF(K59="NV","",IF(VLOOKUP(M59,'R_Häufigkeit_Faktoren UHR'!$B$4:$I$24,8,FALSE)=0,"",VLOOKUP(M59,'R_Häufigkeit_Faktoren UHR'!$B$4:$I$24,8,FALSE)))</f>
        <v/>
      </c>
      <c r="U59" s="156" t="str">
        <f t="shared" si="6"/>
        <v/>
      </c>
      <c r="V59" s="427"/>
      <c r="W59" s="12" t="str">
        <f>IF(T59="","",VLOOKUP(J59,Raumgruppen_Leistungswerte!$B$5:$F$35,5,FALSE))</f>
        <v/>
      </c>
      <c r="X59" s="156" t="str">
        <f t="shared" si="7"/>
        <v/>
      </c>
      <c r="Y59" s="446" t="str">
        <f t="shared" si="8"/>
        <v/>
      </c>
      <c r="Z59" s="158" t="str">
        <f t="shared" si="15"/>
        <v/>
      </c>
      <c r="AA59" s="23" t="str">
        <f t="shared" si="16"/>
        <v/>
      </c>
      <c r="AB59" s="445" t="str">
        <f t="shared" si="17"/>
        <v/>
      </c>
      <c r="AC59" s="123"/>
    </row>
    <row r="60" spans="1:29" ht="12" customHeight="1">
      <c r="A60" s="11">
        <v>56</v>
      </c>
      <c r="B60" s="12" t="s">
        <v>271</v>
      </c>
      <c r="C60" s="17">
        <v>-1</v>
      </c>
      <c r="D60" s="19" t="s">
        <v>287</v>
      </c>
      <c r="E60" s="17"/>
      <c r="F60" s="18" t="s">
        <v>357</v>
      </c>
      <c r="G60" s="319">
        <v>6.2</v>
      </c>
      <c r="H60" s="19" t="s">
        <v>358</v>
      </c>
      <c r="I60" s="20"/>
      <c r="J60" s="21" t="s">
        <v>240</v>
      </c>
      <c r="K60" s="12" t="s">
        <v>14</v>
      </c>
      <c r="L60" s="319">
        <f t="shared" si="14"/>
        <v>6.2</v>
      </c>
      <c r="M60" s="315">
        <v>3</v>
      </c>
      <c r="N60" s="79">
        <f>IF(K60="NV","",IF(VLOOKUP(M60,'R_Häufigkeit_Faktoren UHR'!$B$4:$I$24,7,FALSE)=0,"",VLOOKUP(M60,'R_Häufigkeit_Faktoren UHR'!$B$4:$I$24,7,FALSE)))</f>
        <v>13.035714285714286</v>
      </c>
      <c r="O60" s="3">
        <f t="shared" si="3"/>
        <v>80.821428571428584</v>
      </c>
      <c r="P60" s="325"/>
      <c r="Q60" s="156">
        <f>IF(N60="","",VLOOKUP(J60,Raumgruppen_Leistungswerte!$B$5:$F$35,5,FALSE))</f>
        <v>0</v>
      </c>
      <c r="R60" s="157" t="e">
        <f t="shared" si="4"/>
        <v>#DIV/0!</v>
      </c>
      <c r="S60" s="445" t="e">
        <f t="shared" si="5"/>
        <v>#DIV/0!</v>
      </c>
      <c r="T60" s="78" t="str">
        <f>IF(K60="NV","",IF(VLOOKUP(M60,'R_Häufigkeit_Faktoren UHR'!$B$4:$I$24,8,FALSE)=0,"",VLOOKUP(M60,'R_Häufigkeit_Faktoren UHR'!$B$4:$I$24,8,FALSE)))</f>
        <v/>
      </c>
      <c r="U60" s="156" t="str">
        <f t="shared" si="6"/>
        <v/>
      </c>
      <c r="V60" s="427"/>
      <c r="W60" s="12" t="str">
        <f>IF(T60="","",VLOOKUP(J60,Raumgruppen_Leistungswerte!$B$5:$F$35,5,FALSE))</f>
        <v/>
      </c>
      <c r="X60" s="156" t="str">
        <f t="shared" si="7"/>
        <v/>
      </c>
      <c r="Y60" s="446" t="str">
        <f t="shared" si="8"/>
        <v/>
      </c>
      <c r="Z60" s="158">
        <f t="shared" si="15"/>
        <v>80.821428571428584</v>
      </c>
      <c r="AA60" s="23" t="e">
        <f t="shared" si="16"/>
        <v>#DIV/0!</v>
      </c>
      <c r="AB60" s="445" t="e">
        <f t="shared" si="17"/>
        <v>#DIV/0!</v>
      </c>
      <c r="AC60" s="123"/>
    </row>
    <row r="61" spans="1:29" ht="12" customHeight="1">
      <c r="A61" s="11">
        <v>57</v>
      </c>
      <c r="B61" s="12" t="s">
        <v>271</v>
      </c>
      <c r="C61" s="17">
        <v>-1</v>
      </c>
      <c r="D61" s="19" t="s">
        <v>287</v>
      </c>
      <c r="E61" s="17"/>
      <c r="F61" s="18" t="s">
        <v>359</v>
      </c>
      <c r="G61" s="319">
        <v>3.2</v>
      </c>
      <c r="H61" s="19" t="s">
        <v>358</v>
      </c>
      <c r="I61" s="20"/>
      <c r="J61" s="21" t="s">
        <v>240</v>
      </c>
      <c r="K61" s="12" t="s">
        <v>14</v>
      </c>
      <c r="L61" s="319">
        <f t="shared" si="14"/>
        <v>3.2</v>
      </c>
      <c r="M61" s="315">
        <v>3</v>
      </c>
      <c r="N61" s="79">
        <f>IF(K61="NV","",IF(VLOOKUP(M61,'R_Häufigkeit_Faktoren UHR'!$B$4:$I$24,7,FALSE)=0,"",VLOOKUP(M61,'R_Häufigkeit_Faktoren UHR'!$B$4:$I$24,7,FALSE)))</f>
        <v>13.035714285714286</v>
      </c>
      <c r="O61" s="3">
        <f t="shared" si="3"/>
        <v>41.714285714285722</v>
      </c>
      <c r="P61" s="325"/>
      <c r="Q61" s="156">
        <f>IF(N61="","",VLOOKUP(J61,Raumgruppen_Leistungswerte!$B$5:$F$35,5,FALSE))</f>
        <v>0</v>
      </c>
      <c r="R61" s="157" t="e">
        <f t="shared" si="4"/>
        <v>#DIV/0!</v>
      </c>
      <c r="S61" s="445" t="e">
        <f t="shared" si="5"/>
        <v>#DIV/0!</v>
      </c>
      <c r="T61" s="78" t="str">
        <f>IF(K61="NV","",IF(VLOOKUP(M61,'R_Häufigkeit_Faktoren UHR'!$B$4:$I$24,8,FALSE)=0,"",VLOOKUP(M61,'R_Häufigkeit_Faktoren UHR'!$B$4:$I$24,8,FALSE)))</f>
        <v/>
      </c>
      <c r="U61" s="156" t="str">
        <f t="shared" si="6"/>
        <v/>
      </c>
      <c r="V61" s="427"/>
      <c r="W61" s="12" t="str">
        <f>IF(T61="","",VLOOKUP(J61,Raumgruppen_Leistungswerte!$B$5:$F$35,5,FALSE))</f>
        <v/>
      </c>
      <c r="X61" s="156" t="str">
        <f t="shared" si="7"/>
        <v/>
      </c>
      <c r="Y61" s="446" t="str">
        <f t="shared" si="8"/>
        <v/>
      </c>
      <c r="Z61" s="158">
        <f t="shared" si="15"/>
        <v>41.714285714285722</v>
      </c>
      <c r="AA61" s="23" t="e">
        <f t="shared" si="16"/>
        <v>#DIV/0!</v>
      </c>
      <c r="AB61" s="445" t="e">
        <f t="shared" si="17"/>
        <v>#DIV/0!</v>
      </c>
      <c r="AC61" s="123"/>
    </row>
    <row r="62" spans="1:29" ht="12" customHeight="1">
      <c r="A62" s="11">
        <v>58</v>
      </c>
      <c r="B62" s="12" t="s">
        <v>271</v>
      </c>
      <c r="C62" s="17">
        <v>-1</v>
      </c>
      <c r="D62" s="19" t="s">
        <v>287</v>
      </c>
      <c r="E62" s="17"/>
      <c r="F62" s="18" t="s">
        <v>360</v>
      </c>
      <c r="G62" s="319">
        <v>6.2</v>
      </c>
      <c r="H62" s="19" t="s">
        <v>358</v>
      </c>
      <c r="I62" s="20"/>
      <c r="J62" s="21" t="s">
        <v>240</v>
      </c>
      <c r="K62" s="12" t="s">
        <v>14</v>
      </c>
      <c r="L62" s="319">
        <f t="shared" si="14"/>
        <v>6.2</v>
      </c>
      <c r="M62" s="315">
        <v>3</v>
      </c>
      <c r="N62" s="79">
        <f>IF(K62="NV","",IF(VLOOKUP(M62,'R_Häufigkeit_Faktoren UHR'!$B$4:$I$24,7,FALSE)=0,"",VLOOKUP(M62,'R_Häufigkeit_Faktoren UHR'!$B$4:$I$24,7,FALSE)))</f>
        <v>13.035714285714286</v>
      </c>
      <c r="O62" s="3">
        <f t="shared" si="3"/>
        <v>80.821428571428584</v>
      </c>
      <c r="P62" s="325"/>
      <c r="Q62" s="156">
        <f>IF(N62="","",VLOOKUP(J62,Raumgruppen_Leistungswerte!$B$5:$F$35,5,FALSE))</f>
        <v>0</v>
      </c>
      <c r="R62" s="157" t="e">
        <f t="shared" si="4"/>
        <v>#DIV/0!</v>
      </c>
      <c r="S62" s="445" t="e">
        <f t="shared" si="5"/>
        <v>#DIV/0!</v>
      </c>
      <c r="T62" s="78" t="str">
        <f>IF(K62="NV","",IF(VLOOKUP(M62,'R_Häufigkeit_Faktoren UHR'!$B$4:$I$24,8,FALSE)=0,"",VLOOKUP(M62,'R_Häufigkeit_Faktoren UHR'!$B$4:$I$24,8,FALSE)))</f>
        <v/>
      </c>
      <c r="U62" s="156" t="str">
        <f t="shared" si="6"/>
        <v/>
      </c>
      <c r="V62" s="427"/>
      <c r="W62" s="12" t="str">
        <f>IF(T62="","",VLOOKUP(J62,Raumgruppen_Leistungswerte!$B$5:$F$35,5,FALSE))</f>
        <v/>
      </c>
      <c r="X62" s="156" t="str">
        <f t="shared" si="7"/>
        <v/>
      </c>
      <c r="Y62" s="446" t="str">
        <f t="shared" si="8"/>
        <v/>
      </c>
      <c r="Z62" s="158">
        <f t="shared" si="15"/>
        <v>80.821428571428584</v>
      </c>
      <c r="AA62" s="23" t="e">
        <f t="shared" si="16"/>
        <v>#DIV/0!</v>
      </c>
      <c r="AB62" s="445" t="e">
        <f t="shared" si="17"/>
        <v>#DIV/0!</v>
      </c>
      <c r="AC62" s="123"/>
    </row>
    <row r="63" spans="1:29" ht="12" customHeight="1">
      <c r="A63" s="11">
        <v>59</v>
      </c>
      <c r="B63" s="12" t="s">
        <v>271</v>
      </c>
      <c r="C63" s="17">
        <v>-1</v>
      </c>
      <c r="D63" s="19" t="s">
        <v>287</v>
      </c>
      <c r="E63" s="17"/>
      <c r="F63" s="18" t="s">
        <v>361</v>
      </c>
      <c r="G63" s="319">
        <v>4.5</v>
      </c>
      <c r="H63" s="19" t="s">
        <v>358</v>
      </c>
      <c r="I63" s="20"/>
      <c r="J63" s="21" t="s">
        <v>240</v>
      </c>
      <c r="K63" s="12" t="s">
        <v>14</v>
      </c>
      <c r="L63" s="319">
        <f t="shared" si="14"/>
        <v>4.5</v>
      </c>
      <c r="M63" s="315">
        <v>3</v>
      </c>
      <c r="N63" s="79">
        <f>IF(K63="NV","",IF(VLOOKUP(M63,'R_Häufigkeit_Faktoren UHR'!$B$4:$I$24,7,FALSE)=0,"",VLOOKUP(M63,'R_Häufigkeit_Faktoren UHR'!$B$4:$I$24,7,FALSE)))</f>
        <v>13.035714285714286</v>
      </c>
      <c r="O63" s="3">
        <f t="shared" si="3"/>
        <v>58.660714285714292</v>
      </c>
      <c r="P63" s="325"/>
      <c r="Q63" s="156">
        <f>IF(N63="","",VLOOKUP(J63,Raumgruppen_Leistungswerte!$B$5:$F$35,5,FALSE))</f>
        <v>0</v>
      </c>
      <c r="R63" s="157" t="e">
        <f t="shared" si="4"/>
        <v>#DIV/0!</v>
      </c>
      <c r="S63" s="445" t="e">
        <f t="shared" si="5"/>
        <v>#DIV/0!</v>
      </c>
      <c r="T63" s="78" t="str">
        <f>IF(K63="NV","",IF(VLOOKUP(M63,'R_Häufigkeit_Faktoren UHR'!$B$4:$I$24,8,FALSE)=0,"",VLOOKUP(M63,'R_Häufigkeit_Faktoren UHR'!$B$4:$I$24,8,FALSE)))</f>
        <v/>
      </c>
      <c r="U63" s="156" t="str">
        <f t="shared" si="6"/>
        <v/>
      </c>
      <c r="V63" s="427"/>
      <c r="W63" s="12" t="str">
        <f>IF(T63="","",VLOOKUP(J63,Raumgruppen_Leistungswerte!$B$5:$F$35,5,FALSE))</f>
        <v/>
      </c>
      <c r="X63" s="156" t="str">
        <f t="shared" si="7"/>
        <v/>
      </c>
      <c r="Y63" s="446" t="str">
        <f t="shared" si="8"/>
        <v/>
      </c>
      <c r="Z63" s="158">
        <f t="shared" si="15"/>
        <v>58.660714285714292</v>
      </c>
      <c r="AA63" s="23" t="e">
        <f t="shared" si="16"/>
        <v>#DIV/0!</v>
      </c>
      <c r="AB63" s="445" t="e">
        <f t="shared" si="17"/>
        <v>#DIV/0!</v>
      </c>
      <c r="AC63" s="123"/>
    </row>
    <row r="64" spans="1:29" ht="12" customHeight="1">
      <c r="A64" s="11">
        <v>60</v>
      </c>
      <c r="B64" s="12" t="s">
        <v>271</v>
      </c>
      <c r="C64" s="17">
        <v>-1</v>
      </c>
      <c r="D64" s="19" t="s">
        <v>287</v>
      </c>
      <c r="E64" s="17"/>
      <c r="F64" s="18" t="s">
        <v>362</v>
      </c>
      <c r="G64" s="319">
        <v>6.2</v>
      </c>
      <c r="H64" s="19" t="s">
        <v>363</v>
      </c>
      <c r="I64" s="14"/>
      <c r="J64" s="15" t="s">
        <v>240</v>
      </c>
      <c r="K64" s="12" t="s">
        <v>173</v>
      </c>
      <c r="L64" s="319" t="str">
        <f t="shared" si="14"/>
        <v/>
      </c>
      <c r="M64" s="315"/>
      <c r="N64" s="78" t="str">
        <f>IF(K64="NV","",IF(VLOOKUP(M64,'R_Häufigkeit_Faktoren UHR'!$B$4:$I$24,7,FALSE)=0,"",VLOOKUP(M64,'R_Häufigkeit_Faktoren UHR'!$B$4:$I$24,7,FALSE)))</f>
        <v/>
      </c>
      <c r="O64" s="3" t="str">
        <f t="shared" si="3"/>
        <v/>
      </c>
      <c r="P64" s="325"/>
      <c r="Q64" s="156" t="str">
        <f>IF(N64="","",VLOOKUP(J64,Raumgruppen_Leistungswerte!$B$5:$F$35,5,FALSE))</f>
        <v/>
      </c>
      <c r="R64" s="157" t="str">
        <f t="shared" si="4"/>
        <v/>
      </c>
      <c r="S64" s="445" t="str">
        <f t="shared" si="5"/>
        <v/>
      </c>
      <c r="T64" s="78" t="str">
        <f>IF(K64="NV","",IF(VLOOKUP(M64,'R_Häufigkeit_Faktoren UHR'!$B$4:$I$24,8,FALSE)=0,"",VLOOKUP(M64,'R_Häufigkeit_Faktoren UHR'!$B$4:$I$24,8,FALSE)))</f>
        <v/>
      </c>
      <c r="U64" s="156" t="str">
        <f t="shared" si="6"/>
        <v/>
      </c>
      <c r="V64" s="427"/>
      <c r="W64" s="12" t="str">
        <f>IF(T64="","",VLOOKUP(J64,Raumgruppen_Leistungswerte!$B$5:$F$35,5,FALSE))</f>
        <v/>
      </c>
      <c r="X64" s="156" t="str">
        <f t="shared" si="7"/>
        <v/>
      </c>
      <c r="Y64" s="446" t="str">
        <f t="shared" si="8"/>
        <v/>
      </c>
      <c r="Z64" s="158" t="str">
        <f t="shared" si="15"/>
        <v/>
      </c>
      <c r="AA64" s="23" t="str">
        <f t="shared" si="16"/>
        <v/>
      </c>
      <c r="AB64" s="445" t="str">
        <f t="shared" si="17"/>
        <v/>
      </c>
      <c r="AC64" s="123"/>
    </row>
    <row r="65" spans="1:29" ht="12" customHeight="1">
      <c r="A65" s="11">
        <v>61</v>
      </c>
      <c r="B65" s="12" t="s">
        <v>271</v>
      </c>
      <c r="C65" s="17">
        <v>-1</v>
      </c>
      <c r="D65" s="19" t="s">
        <v>272</v>
      </c>
      <c r="E65" s="17"/>
      <c r="F65" s="18" t="s">
        <v>333</v>
      </c>
      <c r="G65" s="319">
        <v>20.6</v>
      </c>
      <c r="H65" s="19" t="s">
        <v>334</v>
      </c>
      <c r="I65" s="14"/>
      <c r="J65" s="21" t="s">
        <v>240</v>
      </c>
      <c r="K65" s="12" t="s">
        <v>14</v>
      </c>
      <c r="L65" s="319">
        <f t="shared" si="14"/>
        <v>20.6</v>
      </c>
      <c r="M65" s="315">
        <v>3</v>
      </c>
      <c r="N65" s="78">
        <f>IF(K65="NV","",IF(VLOOKUP(M65,'R_Häufigkeit_Faktoren UHR'!$B$4:$I$24,7,FALSE)=0,"",VLOOKUP(M65,'R_Häufigkeit_Faktoren UHR'!$B$4:$I$24,7,FALSE)))</f>
        <v>13.035714285714286</v>
      </c>
      <c r="O65" s="3">
        <f t="shared" si="3"/>
        <v>268.53571428571433</v>
      </c>
      <c r="P65" s="325"/>
      <c r="Q65" s="156">
        <f>IF(N65="","",VLOOKUP(J65,Raumgruppen_Leistungswerte!$B$5:$F$35,5,FALSE))</f>
        <v>0</v>
      </c>
      <c r="R65" s="157" t="e">
        <f t="shared" si="4"/>
        <v>#DIV/0!</v>
      </c>
      <c r="S65" s="445" t="e">
        <f t="shared" si="5"/>
        <v>#DIV/0!</v>
      </c>
      <c r="T65" s="78" t="str">
        <f>IF(K65="NV","",IF(VLOOKUP(M65,'R_Häufigkeit_Faktoren UHR'!$B$4:$I$24,8,FALSE)=0,"",VLOOKUP(M65,'R_Häufigkeit_Faktoren UHR'!$B$4:$I$24,8,FALSE)))</f>
        <v/>
      </c>
      <c r="U65" s="156" t="str">
        <f t="shared" si="6"/>
        <v/>
      </c>
      <c r="V65" s="427"/>
      <c r="W65" s="12" t="str">
        <f>IF(T65="","",VLOOKUP(J65,Raumgruppen_Leistungswerte!$B$5:$F$35,5,FALSE))</f>
        <v/>
      </c>
      <c r="X65" s="156" t="str">
        <f t="shared" si="7"/>
        <v/>
      </c>
      <c r="Y65" s="446" t="str">
        <f t="shared" si="8"/>
        <v/>
      </c>
      <c r="Z65" s="158">
        <f t="shared" si="15"/>
        <v>268.53571428571433</v>
      </c>
      <c r="AA65" s="23" t="e">
        <f t="shared" si="16"/>
        <v>#DIV/0!</v>
      </c>
      <c r="AB65" s="445" t="e">
        <f t="shared" si="17"/>
        <v>#DIV/0!</v>
      </c>
      <c r="AC65" s="123"/>
    </row>
    <row r="66" spans="1:29" ht="12" customHeight="1">
      <c r="A66" s="11">
        <v>62</v>
      </c>
      <c r="B66" s="12" t="s">
        <v>271</v>
      </c>
      <c r="C66" s="17">
        <v>-1</v>
      </c>
      <c r="D66" s="19" t="s">
        <v>287</v>
      </c>
      <c r="E66" s="17"/>
      <c r="F66" s="18" t="s">
        <v>336</v>
      </c>
      <c r="G66" s="319">
        <v>14.3</v>
      </c>
      <c r="H66" s="19" t="s">
        <v>337</v>
      </c>
      <c r="I66" s="14"/>
      <c r="J66" s="21" t="s">
        <v>286</v>
      </c>
      <c r="K66" s="12" t="s">
        <v>173</v>
      </c>
      <c r="L66" s="319" t="str">
        <f t="shared" si="14"/>
        <v/>
      </c>
      <c r="M66" s="315"/>
      <c r="N66" s="78" t="str">
        <f>IF(K66="NV","",IF(VLOOKUP(M66,'R_Häufigkeit_Faktoren UHR'!$B$4:$I$24,7,FALSE)=0,"",VLOOKUP(M66,'R_Häufigkeit_Faktoren UHR'!$B$4:$I$24,7,FALSE)))</f>
        <v/>
      </c>
      <c r="O66" s="3" t="str">
        <f t="shared" si="3"/>
        <v/>
      </c>
      <c r="P66" s="325"/>
      <c r="Q66" s="156" t="str">
        <f>IF(N66="","",VLOOKUP(J66,Raumgruppen_Leistungswerte!$B$5:$F$35,5,FALSE))</f>
        <v/>
      </c>
      <c r="R66" s="157" t="str">
        <f t="shared" si="4"/>
        <v/>
      </c>
      <c r="S66" s="445" t="str">
        <f t="shared" si="5"/>
        <v/>
      </c>
      <c r="T66" s="78" t="str">
        <f>IF(K66="NV","",IF(VLOOKUP(M66,'R_Häufigkeit_Faktoren UHR'!$B$4:$I$24,8,FALSE)=0,"",VLOOKUP(M66,'R_Häufigkeit_Faktoren UHR'!$B$4:$I$24,8,FALSE)))</f>
        <v/>
      </c>
      <c r="U66" s="156" t="str">
        <f t="shared" si="6"/>
        <v/>
      </c>
      <c r="V66" s="427"/>
      <c r="W66" s="12" t="str">
        <f>IF(T66="","",VLOOKUP(J66,Raumgruppen_Leistungswerte!$B$5:$F$35,5,FALSE))</f>
        <v/>
      </c>
      <c r="X66" s="156" t="str">
        <f t="shared" si="7"/>
        <v/>
      </c>
      <c r="Y66" s="446" t="str">
        <f t="shared" si="8"/>
        <v/>
      </c>
      <c r="Z66" s="158" t="str">
        <f t="shared" si="15"/>
        <v/>
      </c>
      <c r="AA66" s="23" t="str">
        <f t="shared" si="16"/>
        <v/>
      </c>
      <c r="AB66" s="445" t="str">
        <f t="shared" si="17"/>
        <v/>
      </c>
      <c r="AC66" s="123"/>
    </row>
    <row r="67" spans="1:29" ht="12" customHeight="1">
      <c r="A67" s="11">
        <v>63</v>
      </c>
      <c r="B67" s="12" t="s">
        <v>271</v>
      </c>
      <c r="C67" s="17">
        <v>-1</v>
      </c>
      <c r="D67" s="19" t="s">
        <v>272</v>
      </c>
      <c r="E67" s="17"/>
      <c r="F67" s="18" t="s">
        <v>338</v>
      </c>
      <c r="G67" s="319">
        <v>16.600000000000001</v>
      </c>
      <c r="H67" s="19" t="s">
        <v>279</v>
      </c>
      <c r="I67" s="20"/>
      <c r="J67" s="21" t="s">
        <v>240</v>
      </c>
      <c r="K67" s="12" t="s">
        <v>14</v>
      </c>
      <c r="L67" s="319">
        <f t="shared" si="14"/>
        <v>16.600000000000001</v>
      </c>
      <c r="M67" s="315">
        <v>5</v>
      </c>
      <c r="N67" s="78">
        <f>IF(K67="NV","",IF(VLOOKUP(M67,'R_Häufigkeit_Faktoren UHR'!$B$4:$I$24,7,FALSE)=0,"",VLOOKUP(M67,'R_Häufigkeit_Faktoren UHR'!$B$4:$I$24,7,FALSE)))</f>
        <v>20.917857142857144</v>
      </c>
      <c r="O67" s="3">
        <f t="shared" si="3"/>
        <v>347.23642857142863</v>
      </c>
      <c r="P67" s="325"/>
      <c r="Q67" s="156">
        <f>IF(N67="","",VLOOKUP(J67,Raumgruppen_Leistungswerte!$B$5:$F$35,5,FALSE))</f>
        <v>0</v>
      </c>
      <c r="R67" s="157" t="e">
        <f t="shared" si="4"/>
        <v>#DIV/0!</v>
      </c>
      <c r="S67" s="445" t="e">
        <f t="shared" si="5"/>
        <v>#DIV/0!</v>
      </c>
      <c r="T67" s="78" t="str">
        <f>IF(K67="NV","",IF(VLOOKUP(M67,'R_Häufigkeit_Faktoren UHR'!$B$4:$I$24,8,FALSE)=0,"",VLOOKUP(M67,'R_Häufigkeit_Faktoren UHR'!$B$4:$I$24,8,FALSE)))</f>
        <v/>
      </c>
      <c r="U67" s="156" t="str">
        <f t="shared" si="6"/>
        <v/>
      </c>
      <c r="V67" s="427"/>
      <c r="W67" s="12" t="str">
        <f>IF(T67="","",VLOOKUP(J67,Raumgruppen_Leistungswerte!$B$5:$F$35,5,FALSE))</f>
        <v/>
      </c>
      <c r="X67" s="156" t="str">
        <f t="shared" si="7"/>
        <v/>
      </c>
      <c r="Y67" s="446" t="str">
        <f t="shared" si="8"/>
        <v/>
      </c>
      <c r="Z67" s="158">
        <f t="shared" si="15"/>
        <v>347.23642857142863</v>
      </c>
      <c r="AA67" s="23" t="e">
        <f t="shared" si="16"/>
        <v>#DIV/0!</v>
      </c>
      <c r="AB67" s="445" t="e">
        <f t="shared" si="17"/>
        <v>#DIV/0!</v>
      </c>
      <c r="AC67" s="123"/>
    </row>
    <row r="68" spans="1:29" ht="12" customHeight="1">
      <c r="A68" s="11">
        <v>64</v>
      </c>
      <c r="B68" s="12" t="s">
        <v>271</v>
      </c>
      <c r="C68" s="17">
        <v>-1</v>
      </c>
      <c r="D68" s="19" t="s">
        <v>272</v>
      </c>
      <c r="E68" s="17"/>
      <c r="F68" s="18" t="s">
        <v>340</v>
      </c>
      <c r="G68" s="319">
        <v>23.8</v>
      </c>
      <c r="H68" s="19" t="s">
        <v>334</v>
      </c>
      <c r="I68" s="20"/>
      <c r="J68" s="21" t="s">
        <v>240</v>
      </c>
      <c r="K68" s="12" t="s">
        <v>14</v>
      </c>
      <c r="L68" s="319">
        <f t="shared" si="14"/>
        <v>23.8</v>
      </c>
      <c r="M68" s="315">
        <v>3</v>
      </c>
      <c r="N68" s="78">
        <f>IF(K68="NV","",IF(VLOOKUP(M68,'R_Häufigkeit_Faktoren UHR'!$B$4:$I$24,7,FALSE)=0,"",VLOOKUP(M68,'R_Häufigkeit_Faktoren UHR'!$B$4:$I$24,7,FALSE)))</f>
        <v>13.035714285714286</v>
      </c>
      <c r="O68" s="3">
        <f t="shared" si="3"/>
        <v>310.25</v>
      </c>
      <c r="P68" s="325"/>
      <c r="Q68" s="156">
        <f>IF(N68="","",VLOOKUP(J68,Raumgruppen_Leistungswerte!$B$5:$F$35,5,FALSE))</f>
        <v>0</v>
      </c>
      <c r="R68" s="157" t="e">
        <f t="shared" si="4"/>
        <v>#DIV/0!</v>
      </c>
      <c r="S68" s="445" t="e">
        <f t="shared" si="5"/>
        <v>#DIV/0!</v>
      </c>
      <c r="T68" s="78" t="str">
        <f>IF(K68="NV","",IF(VLOOKUP(M68,'R_Häufigkeit_Faktoren UHR'!$B$4:$I$24,8,FALSE)=0,"",VLOOKUP(M68,'R_Häufigkeit_Faktoren UHR'!$B$4:$I$24,8,FALSE)))</f>
        <v/>
      </c>
      <c r="U68" s="156" t="str">
        <f t="shared" si="6"/>
        <v/>
      </c>
      <c r="V68" s="427"/>
      <c r="W68" s="12" t="str">
        <f>IF(T68="","",VLOOKUP(J68,Raumgruppen_Leistungswerte!$B$5:$F$35,5,FALSE))</f>
        <v/>
      </c>
      <c r="X68" s="156" t="str">
        <f t="shared" si="7"/>
        <v/>
      </c>
      <c r="Y68" s="446" t="str">
        <f t="shared" si="8"/>
        <v/>
      </c>
      <c r="Z68" s="158">
        <f t="shared" si="15"/>
        <v>310.25</v>
      </c>
      <c r="AA68" s="23" t="e">
        <f t="shared" si="16"/>
        <v>#DIV/0!</v>
      </c>
      <c r="AB68" s="445" t="e">
        <f t="shared" si="17"/>
        <v>#DIV/0!</v>
      </c>
      <c r="AC68" s="123"/>
    </row>
    <row r="69" spans="1:29" ht="12" customHeight="1">
      <c r="A69" s="11">
        <v>65</v>
      </c>
      <c r="B69" s="12" t="s">
        <v>271</v>
      </c>
      <c r="C69" s="17">
        <v>-1</v>
      </c>
      <c r="D69" s="19" t="s">
        <v>287</v>
      </c>
      <c r="E69" s="17"/>
      <c r="F69" s="18" t="s">
        <v>341</v>
      </c>
      <c r="G69" s="319">
        <v>18.5</v>
      </c>
      <c r="H69" s="19" t="s">
        <v>337</v>
      </c>
      <c r="I69" s="14"/>
      <c r="J69" s="21" t="s">
        <v>286</v>
      </c>
      <c r="K69" s="12" t="s">
        <v>173</v>
      </c>
      <c r="L69" s="319" t="str">
        <f t="shared" si="14"/>
        <v/>
      </c>
      <c r="M69" s="315"/>
      <c r="N69" s="78" t="str">
        <f>IF(K69="NV","",IF(VLOOKUP(M69,'R_Häufigkeit_Faktoren UHR'!$B$4:$I$24,7,FALSE)=0,"",VLOOKUP(M69,'R_Häufigkeit_Faktoren UHR'!$B$4:$I$24,7,FALSE)))</f>
        <v/>
      </c>
      <c r="O69" s="3" t="str">
        <f t="shared" si="3"/>
        <v/>
      </c>
      <c r="P69" s="325"/>
      <c r="Q69" s="156" t="str">
        <f>IF(N69="","",VLOOKUP(J69,Raumgruppen_Leistungswerte!$B$5:$F$35,5,FALSE))</f>
        <v/>
      </c>
      <c r="R69" s="157" t="str">
        <f t="shared" si="4"/>
        <v/>
      </c>
      <c r="S69" s="445" t="str">
        <f t="shared" si="5"/>
        <v/>
      </c>
      <c r="T69" s="78" t="str">
        <f>IF(K69="NV","",IF(VLOOKUP(M69,'R_Häufigkeit_Faktoren UHR'!$B$4:$I$24,8,FALSE)=0,"",VLOOKUP(M69,'R_Häufigkeit_Faktoren UHR'!$B$4:$I$24,8,FALSE)))</f>
        <v/>
      </c>
      <c r="U69" s="156" t="str">
        <f t="shared" si="6"/>
        <v/>
      </c>
      <c r="V69" s="427"/>
      <c r="W69" s="12" t="str">
        <f>IF(T69="","",VLOOKUP(J69,Raumgruppen_Leistungswerte!$B$5:$F$35,5,FALSE))</f>
        <v/>
      </c>
      <c r="X69" s="156" t="str">
        <f t="shared" si="7"/>
        <v/>
      </c>
      <c r="Y69" s="446" t="str">
        <f t="shared" si="8"/>
        <v/>
      </c>
      <c r="Z69" s="158" t="str">
        <f t="shared" si="15"/>
        <v/>
      </c>
      <c r="AA69" s="23" t="str">
        <f t="shared" si="16"/>
        <v/>
      </c>
      <c r="AB69" s="445" t="str">
        <f t="shared" si="17"/>
        <v/>
      </c>
      <c r="AC69" s="123"/>
    </row>
    <row r="70" spans="1:29" ht="12" customHeight="1">
      <c r="A70" s="11">
        <v>66</v>
      </c>
      <c r="B70" s="12" t="s">
        <v>271</v>
      </c>
      <c r="C70" s="17">
        <v>-1</v>
      </c>
      <c r="D70" s="19" t="s">
        <v>272</v>
      </c>
      <c r="E70" s="17"/>
      <c r="F70" s="18" t="s">
        <v>342</v>
      </c>
      <c r="G70" s="319">
        <v>7</v>
      </c>
      <c r="H70" s="19" t="s">
        <v>279</v>
      </c>
      <c r="I70" s="14"/>
      <c r="J70" s="21" t="s">
        <v>240</v>
      </c>
      <c r="K70" s="12" t="s">
        <v>14</v>
      </c>
      <c r="L70" s="319">
        <f t="shared" si="14"/>
        <v>7</v>
      </c>
      <c r="M70" s="315">
        <v>5</v>
      </c>
      <c r="N70" s="78">
        <f>IF(K70="NV","",IF(VLOOKUP(M70,'R_Häufigkeit_Faktoren UHR'!$B$4:$I$24,7,FALSE)=0,"",VLOOKUP(M70,'R_Häufigkeit_Faktoren UHR'!$B$4:$I$24,7,FALSE)))</f>
        <v>20.917857142857144</v>
      </c>
      <c r="O70" s="3">
        <f t="shared" ref="O70:O296" si="18">IF(N70="","",N70*L70)</f>
        <v>146.42500000000001</v>
      </c>
      <c r="P70" s="325"/>
      <c r="Q70" s="156">
        <f>IF(N70="","",VLOOKUP(J70,Raumgruppen_Leistungswerte!$B$5:$F$35,5,FALSE))</f>
        <v>0</v>
      </c>
      <c r="R70" s="157" t="e">
        <f t="shared" ref="R70:R296" si="19">IF(N70="","",L70/Q70*N70)</f>
        <v>#DIV/0!</v>
      </c>
      <c r="S70" s="445" t="e">
        <f t="shared" ref="S70:S296" si="20">IF(K70="NV","",R70*P70)</f>
        <v>#DIV/0!</v>
      </c>
      <c r="T70" s="78" t="str">
        <f>IF(K70="NV","",IF(VLOOKUP(M70,'R_Häufigkeit_Faktoren UHR'!$B$4:$I$24,8,FALSE)=0,"",VLOOKUP(M70,'R_Häufigkeit_Faktoren UHR'!$B$4:$I$24,8,FALSE)))</f>
        <v/>
      </c>
      <c r="U70" s="156" t="str">
        <f t="shared" ref="U70:U296" si="21">IF(T70="","",T70*L70)</f>
        <v/>
      </c>
      <c r="V70" s="427"/>
      <c r="W70" s="12" t="str">
        <f>IF(T70="","",VLOOKUP(J70,Raumgruppen_Leistungswerte!$B$5:$F$35,5,FALSE))</f>
        <v/>
      </c>
      <c r="X70" s="156" t="str">
        <f t="shared" ref="X70:X296" si="22">IF(T70="","",L70/W70*T70)</f>
        <v/>
      </c>
      <c r="Y70" s="446" t="str">
        <f t="shared" ref="Y70:Y296" si="23">IF(T70="","",X70*V70)</f>
        <v/>
      </c>
      <c r="Z70" s="158">
        <f t="shared" si="15"/>
        <v>146.42500000000001</v>
      </c>
      <c r="AA70" s="23" t="e">
        <f t="shared" si="16"/>
        <v>#DIV/0!</v>
      </c>
      <c r="AB70" s="445" t="e">
        <f t="shared" si="17"/>
        <v>#DIV/0!</v>
      </c>
      <c r="AC70" s="123"/>
    </row>
    <row r="71" spans="1:29" ht="12" customHeight="1">
      <c r="A71" s="11">
        <v>67</v>
      </c>
      <c r="B71" s="12" t="s">
        <v>271</v>
      </c>
      <c r="C71" s="17">
        <v>-1</v>
      </c>
      <c r="D71" s="19" t="s">
        <v>272</v>
      </c>
      <c r="E71" s="17"/>
      <c r="F71" s="18" t="s">
        <v>364</v>
      </c>
      <c r="G71" s="319">
        <v>34.200000000000003</v>
      </c>
      <c r="H71" s="19" t="s">
        <v>365</v>
      </c>
      <c r="I71" s="14"/>
      <c r="J71" s="21" t="s">
        <v>240</v>
      </c>
      <c r="K71" s="12" t="s">
        <v>14</v>
      </c>
      <c r="L71" s="319">
        <f t="shared" si="14"/>
        <v>34.200000000000003</v>
      </c>
      <c r="M71" s="315">
        <v>3</v>
      </c>
      <c r="N71" s="78">
        <f>IF(K71="NV","",IF(VLOOKUP(M71,'R_Häufigkeit_Faktoren UHR'!$B$4:$I$24,7,FALSE)=0,"",VLOOKUP(M71,'R_Häufigkeit_Faktoren UHR'!$B$4:$I$24,7,FALSE)))</f>
        <v>13.035714285714286</v>
      </c>
      <c r="O71" s="3">
        <f t="shared" si="18"/>
        <v>445.82142857142861</v>
      </c>
      <c r="P71" s="325"/>
      <c r="Q71" s="156">
        <f>IF(N71="","",VLOOKUP(J71,Raumgruppen_Leistungswerte!$B$5:$F$35,5,FALSE))</f>
        <v>0</v>
      </c>
      <c r="R71" s="157" t="e">
        <f t="shared" si="19"/>
        <v>#DIV/0!</v>
      </c>
      <c r="S71" s="445" t="e">
        <f t="shared" si="20"/>
        <v>#DIV/0!</v>
      </c>
      <c r="T71" s="78" t="str">
        <f>IF(K71="NV","",IF(VLOOKUP(M71,'R_Häufigkeit_Faktoren UHR'!$B$4:$I$24,8,FALSE)=0,"",VLOOKUP(M71,'R_Häufigkeit_Faktoren UHR'!$B$4:$I$24,8,FALSE)))</f>
        <v/>
      </c>
      <c r="U71" s="156" t="str">
        <f t="shared" si="21"/>
        <v/>
      </c>
      <c r="V71" s="427"/>
      <c r="W71" s="12" t="str">
        <f>IF(T71="","",VLOOKUP(J71,Raumgruppen_Leistungswerte!$B$5:$F$35,5,FALSE))</f>
        <v/>
      </c>
      <c r="X71" s="156" t="str">
        <f t="shared" si="22"/>
        <v/>
      </c>
      <c r="Y71" s="446" t="str">
        <f t="shared" si="23"/>
        <v/>
      </c>
      <c r="Z71" s="158">
        <f t="shared" si="15"/>
        <v>445.82142857142861</v>
      </c>
      <c r="AA71" s="23" t="e">
        <f t="shared" si="16"/>
        <v>#DIV/0!</v>
      </c>
      <c r="AB71" s="445" t="e">
        <f t="shared" si="17"/>
        <v>#DIV/0!</v>
      </c>
      <c r="AC71" s="123"/>
    </row>
    <row r="72" spans="1:29" ht="12" customHeight="1">
      <c r="A72" s="11">
        <v>68</v>
      </c>
      <c r="B72" s="12" t="s">
        <v>271</v>
      </c>
      <c r="C72" s="17">
        <v>-1</v>
      </c>
      <c r="D72" s="19" t="s">
        <v>287</v>
      </c>
      <c r="E72" s="17"/>
      <c r="F72" s="18" t="s">
        <v>366</v>
      </c>
      <c r="G72" s="319">
        <v>3.9</v>
      </c>
      <c r="H72" s="19" t="s">
        <v>337</v>
      </c>
      <c r="I72" s="14"/>
      <c r="J72" s="21" t="s">
        <v>286</v>
      </c>
      <c r="K72" s="12" t="s">
        <v>173</v>
      </c>
      <c r="L72" s="319" t="str">
        <f t="shared" ref="L72:L234" si="24">IF(K72="NV","",G72)</f>
        <v/>
      </c>
      <c r="M72" s="315"/>
      <c r="N72" s="78" t="str">
        <f>IF(K72="NV","",IF(VLOOKUP(M72,'R_Häufigkeit_Faktoren UHR'!$B$4:$I$24,7,FALSE)=0,"",VLOOKUP(M72,'R_Häufigkeit_Faktoren UHR'!$B$4:$I$24,7,FALSE)))</f>
        <v/>
      </c>
      <c r="O72" s="3" t="str">
        <f t="shared" ref="O72:O234" si="25">IF(N72="","",N72*L72)</f>
        <v/>
      </c>
      <c r="P72" s="325"/>
      <c r="Q72" s="156" t="str">
        <f>IF(N72="","",VLOOKUP(J72,Raumgruppen_Leistungswerte!$B$5:$F$35,5,FALSE))</f>
        <v/>
      </c>
      <c r="R72" s="157" t="str">
        <f t="shared" ref="R72:R234" si="26">IF(N72="","",L72/Q72*N72)</f>
        <v/>
      </c>
      <c r="S72" s="445" t="str">
        <f t="shared" ref="S72:S234" si="27">IF(K72="NV","",R72*P72)</f>
        <v/>
      </c>
      <c r="T72" s="78" t="str">
        <f>IF(K72="NV","",IF(VLOOKUP(M72,'R_Häufigkeit_Faktoren UHR'!$B$4:$I$24,8,FALSE)=0,"",VLOOKUP(M72,'R_Häufigkeit_Faktoren UHR'!$B$4:$I$24,8,FALSE)))</f>
        <v/>
      </c>
      <c r="U72" s="156" t="str">
        <f t="shared" ref="U72:U234" si="28">IF(T72="","",T72*L72)</f>
        <v/>
      </c>
      <c r="V72" s="427"/>
      <c r="W72" s="12" t="str">
        <f>IF(T72="","",VLOOKUP(J72,Raumgruppen_Leistungswerte!$B$5:$F$35,5,FALSE))</f>
        <v/>
      </c>
      <c r="X72" s="156" t="str">
        <f t="shared" ref="X72:X234" si="29">IF(T72="","",L72/W72*T72)</f>
        <v/>
      </c>
      <c r="Y72" s="446" t="str">
        <f t="shared" ref="Y72:Y234" si="30">IF(T72="","",X72*V72)</f>
        <v/>
      </c>
      <c r="Z72" s="158" t="str">
        <f t="shared" ref="Z72:Z234" si="31">IF(U72="",O72,O72+U72)</f>
        <v/>
      </c>
      <c r="AA72" s="23" t="str">
        <f t="shared" ref="AA72:AA234" si="32">IF(X72="",R72,X72+R72)</f>
        <v/>
      </c>
      <c r="AB72" s="445" t="str">
        <f t="shared" ref="AB72:AB234" si="33">IF(Y72="",S72,S72+Y72)</f>
        <v/>
      </c>
      <c r="AC72" s="123"/>
    </row>
    <row r="73" spans="1:29" ht="12" customHeight="1">
      <c r="A73" s="11">
        <v>69</v>
      </c>
      <c r="B73" s="12" t="s">
        <v>367</v>
      </c>
      <c r="C73" s="17" t="s">
        <v>368</v>
      </c>
      <c r="D73" s="19" t="s">
        <v>369</v>
      </c>
      <c r="E73" s="17">
        <v>1</v>
      </c>
      <c r="F73" s="18" t="s">
        <v>370</v>
      </c>
      <c r="G73" s="319">
        <v>16.600000000000001</v>
      </c>
      <c r="H73" s="19" t="s">
        <v>320</v>
      </c>
      <c r="I73" s="20" t="s">
        <v>371</v>
      </c>
      <c r="J73" s="21" t="s">
        <v>238</v>
      </c>
      <c r="K73" s="12" t="s">
        <v>14</v>
      </c>
      <c r="L73" s="319">
        <f t="shared" si="24"/>
        <v>16.600000000000001</v>
      </c>
      <c r="M73" s="315">
        <v>5</v>
      </c>
      <c r="N73" s="78">
        <f>IF(K73="NV","",IF(VLOOKUP(M73,'R_Häufigkeit_Faktoren UHR'!$B$4:$I$24,7,FALSE)=0,"",VLOOKUP(M73,'R_Häufigkeit_Faktoren UHR'!$B$4:$I$24,7,FALSE)))</f>
        <v>20.917857142857144</v>
      </c>
      <c r="O73" s="3">
        <f t="shared" si="25"/>
        <v>347.23642857142863</v>
      </c>
      <c r="P73" s="325"/>
      <c r="Q73" s="156">
        <f>IF(N73="","",VLOOKUP(J73,Raumgruppen_Leistungswerte!$B$5:$F$35,5,FALSE))</f>
        <v>0</v>
      </c>
      <c r="R73" s="157" t="e">
        <f t="shared" si="26"/>
        <v>#DIV/0!</v>
      </c>
      <c r="S73" s="445" t="e">
        <f t="shared" si="27"/>
        <v>#DIV/0!</v>
      </c>
      <c r="T73" s="78" t="str">
        <f>IF(K73="NV","",IF(VLOOKUP(M73,'R_Häufigkeit_Faktoren UHR'!$B$4:$I$24,8,FALSE)=0,"",VLOOKUP(M73,'R_Häufigkeit_Faktoren UHR'!$B$4:$I$24,8,FALSE)))</f>
        <v/>
      </c>
      <c r="U73" s="156" t="str">
        <f t="shared" si="28"/>
        <v/>
      </c>
      <c r="V73" s="427"/>
      <c r="W73" s="12" t="str">
        <f>IF(T73="","",VLOOKUP(J73,Raumgruppen_Leistungswerte!$B$5:$F$35,5,FALSE))</f>
        <v/>
      </c>
      <c r="X73" s="156" t="str">
        <f t="shared" si="29"/>
        <v/>
      </c>
      <c r="Y73" s="446" t="str">
        <f t="shared" si="30"/>
        <v/>
      </c>
      <c r="Z73" s="158">
        <f t="shared" si="31"/>
        <v>347.23642857142863</v>
      </c>
      <c r="AA73" s="23" t="e">
        <f t="shared" si="32"/>
        <v>#DIV/0!</v>
      </c>
      <c r="AB73" s="445" t="e">
        <f t="shared" si="33"/>
        <v>#DIV/0!</v>
      </c>
      <c r="AC73" s="123"/>
    </row>
    <row r="74" spans="1:29" ht="12" customHeight="1">
      <c r="A74" s="11">
        <v>70</v>
      </c>
      <c r="B74" s="12" t="s">
        <v>367</v>
      </c>
      <c r="C74" s="17" t="s">
        <v>368</v>
      </c>
      <c r="D74" s="19" t="s">
        <v>372</v>
      </c>
      <c r="E74" s="17">
        <v>1</v>
      </c>
      <c r="F74" s="18" t="s">
        <v>373</v>
      </c>
      <c r="G74" s="319">
        <v>18.7</v>
      </c>
      <c r="H74" s="19" t="s">
        <v>374</v>
      </c>
      <c r="I74" s="14" t="s">
        <v>371</v>
      </c>
      <c r="J74" s="21" t="s">
        <v>176</v>
      </c>
      <c r="K74" s="12" t="s">
        <v>14</v>
      </c>
      <c r="L74" s="319">
        <f t="shared" si="24"/>
        <v>18.7</v>
      </c>
      <c r="M74" s="315">
        <v>1</v>
      </c>
      <c r="N74" s="78">
        <f>IF(K74="NV","",IF(VLOOKUP(M74,'R_Häufigkeit_Faktoren UHR'!$B$4:$I$24,7,FALSE)=0,"",VLOOKUP(M74,'R_Häufigkeit_Faktoren UHR'!$B$4:$I$24,7,FALSE)))</f>
        <v>4.3452380952380958</v>
      </c>
      <c r="O74" s="3">
        <f t="shared" si="25"/>
        <v>81.255952380952394</v>
      </c>
      <c r="P74" s="325"/>
      <c r="Q74" s="156">
        <f>IF(N74="","",VLOOKUP(J74,Raumgruppen_Leistungswerte!$B$5:$F$35,5,FALSE))</f>
        <v>0</v>
      </c>
      <c r="R74" s="157" t="e">
        <f t="shared" si="26"/>
        <v>#DIV/0!</v>
      </c>
      <c r="S74" s="445" t="e">
        <f t="shared" si="27"/>
        <v>#DIV/0!</v>
      </c>
      <c r="T74" s="78" t="str">
        <f>IF(K74="NV","",IF(VLOOKUP(M74,'R_Häufigkeit_Faktoren UHR'!$B$4:$I$24,8,FALSE)=0,"",VLOOKUP(M74,'R_Häufigkeit_Faktoren UHR'!$B$4:$I$24,8,FALSE)))</f>
        <v/>
      </c>
      <c r="U74" s="156" t="str">
        <f t="shared" si="28"/>
        <v/>
      </c>
      <c r="V74" s="427"/>
      <c r="W74" s="12" t="str">
        <f>IF(T74="","",VLOOKUP(J74,Raumgruppen_Leistungswerte!$B$5:$F$35,5,FALSE))</f>
        <v/>
      </c>
      <c r="X74" s="156" t="str">
        <f t="shared" si="29"/>
        <v/>
      </c>
      <c r="Y74" s="446" t="str">
        <f t="shared" si="30"/>
        <v/>
      </c>
      <c r="Z74" s="158">
        <f t="shared" si="31"/>
        <v>81.255952380952394</v>
      </c>
      <c r="AA74" s="23" t="e">
        <f t="shared" si="32"/>
        <v>#DIV/0!</v>
      </c>
      <c r="AB74" s="445" t="e">
        <f t="shared" si="33"/>
        <v>#DIV/0!</v>
      </c>
      <c r="AC74" s="123"/>
    </row>
    <row r="75" spans="1:29" ht="12" customHeight="1">
      <c r="A75" s="11">
        <v>71</v>
      </c>
      <c r="B75" s="12" t="s">
        <v>367</v>
      </c>
      <c r="C75" s="17" t="s">
        <v>368</v>
      </c>
      <c r="D75" s="19" t="s">
        <v>369</v>
      </c>
      <c r="E75" s="17">
        <v>1</v>
      </c>
      <c r="F75" s="18" t="s">
        <v>375</v>
      </c>
      <c r="G75" s="319">
        <v>19.2</v>
      </c>
      <c r="H75" s="19" t="s">
        <v>374</v>
      </c>
      <c r="I75" s="20" t="s">
        <v>371</v>
      </c>
      <c r="J75" s="21" t="s">
        <v>176</v>
      </c>
      <c r="K75" s="12" t="s">
        <v>14</v>
      </c>
      <c r="L75" s="319">
        <f t="shared" si="24"/>
        <v>19.2</v>
      </c>
      <c r="M75" s="315">
        <v>1</v>
      </c>
      <c r="N75" s="79">
        <f>IF(K75="NV","",IF(VLOOKUP(M75,'R_Häufigkeit_Faktoren UHR'!$B$4:$I$24,7,FALSE)=0,"",VLOOKUP(M75,'R_Häufigkeit_Faktoren UHR'!$B$4:$I$24,7,FALSE)))</f>
        <v>4.3452380952380958</v>
      </c>
      <c r="O75" s="3">
        <f t="shared" si="25"/>
        <v>83.428571428571431</v>
      </c>
      <c r="P75" s="325"/>
      <c r="Q75" s="156">
        <f>IF(N75="","",VLOOKUP(J75,Raumgruppen_Leistungswerte!$B$5:$F$35,5,FALSE))</f>
        <v>0</v>
      </c>
      <c r="R75" s="157" t="e">
        <f t="shared" si="26"/>
        <v>#DIV/0!</v>
      </c>
      <c r="S75" s="445" t="e">
        <f t="shared" si="27"/>
        <v>#DIV/0!</v>
      </c>
      <c r="T75" s="78" t="str">
        <f>IF(K75="NV","",IF(VLOOKUP(M75,'R_Häufigkeit_Faktoren UHR'!$B$4:$I$24,8,FALSE)=0,"",VLOOKUP(M75,'R_Häufigkeit_Faktoren UHR'!$B$4:$I$24,8,FALSE)))</f>
        <v/>
      </c>
      <c r="U75" s="156" t="str">
        <f t="shared" si="28"/>
        <v/>
      </c>
      <c r="V75" s="427"/>
      <c r="W75" s="12" t="str">
        <f>IF(T75="","",VLOOKUP(J75,Raumgruppen_Leistungswerte!$B$5:$F$35,5,FALSE))</f>
        <v/>
      </c>
      <c r="X75" s="156" t="str">
        <f t="shared" si="29"/>
        <v/>
      </c>
      <c r="Y75" s="446" t="str">
        <f t="shared" si="30"/>
        <v/>
      </c>
      <c r="Z75" s="158">
        <f t="shared" si="31"/>
        <v>83.428571428571431</v>
      </c>
      <c r="AA75" s="23" t="e">
        <f t="shared" si="32"/>
        <v>#DIV/0!</v>
      </c>
      <c r="AB75" s="445" t="e">
        <f t="shared" si="33"/>
        <v>#DIV/0!</v>
      </c>
      <c r="AC75" s="123"/>
    </row>
    <row r="76" spans="1:29" ht="12" customHeight="1">
      <c r="A76" s="11">
        <v>72</v>
      </c>
      <c r="B76" s="12" t="s">
        <v>367</v>
      </c>
      <c r="C76" s="17" t="s">
        <v>368</v>
      </c>
      <c r="D76" s="19" t="s">
        <v>369</v>
      </c>
      <c r="E76" s="17">
        <v>1</v>
      </c>
      <c r="F76" s="18" t="s">
        <v>376</v>
      </c>
      <c r="G76" s="319">
        <v>5.7</v>
      </c>
      <c r="H76" s="19" t="s">
        <v>377</v>
      </c>
      <c r="I76" s="20" t="s">
        <v>371</v>
      </c>
      <c r="J76" s="21" t="s">
        <v>218</v>
      </c>
      <c r="K76" s="12" t="s">
        <v>14</v>
      </c>
      <c r="L76" s="319">
        <f t="shared" si="24"/>
        <v>5.7</v>
      </c>
      <c r="M76" s="315">
        <v>2</v>
      </c>
      <c r="N76" s="78">
        <f>IF(K76="NV","",IF(VLOOKUP(M76,'R_Häufigkeit_Faktoren UHR'!$B$4:$I$24,7,FALSE)=0,"",VLOOKUP(M76,'R_Häufigkeit_Faktoren UHR'!$B$4:$I$24,7,FALSE)))</f>
        <v>8.6904761904761916</v>
      </c>
      <c r="O76" s="3">
        <f t="shared" si="25"/>
        <v>49.535714285714292</v>
      </c>
      <c r="P76" s="325"/>
      <c r="Q76" s="156">
        <f>IF(N76="","",VLOOKUP(J76,Raumgruppen_Leistungswerte!$B$5:$F$35,5,FALSE))</f>
        <v>0</v>
      </c>
      <c r="R76" s="157" t="e">
        <f t="shared" si="26"/>
        <v>#DIV/0!</v>
      </c>
      <c r="S76" s="445" t="e">
        <f t="shared" si="27"/>
        <v>#DIV/0!</v>
      </c>
      <c r="T76" s="78" t="str">
        <f>IF(K76="NV","",IF(VLOOKUP(M76,'R_Häufigkeit_Faktoren UHR'!$B$4:$I$24,8,FALSE)=0,"",VLOOKUP(M76,'R_Häufigkeit_Faktoren UHR'!$B$4:$I$24,8,FALSE)))</f>
        <v/>
      </c>
      <c r="U76" s="156" t="str">
        <f t="shared" si="28"/>
        <v/>
      </c>
      <c r="V76" s="427"/>
      <c r="W76" s="12" t="str">
        <f>IF(T76="","",VLOOKUP(J76,Raumgruppen_Leistungswerte!$B$5:$F$35,5,FALSE))</f>
        <v/>
      </c>
      <c r="X76" s="156" t="str">
        <f t="shared" si="29"/>
        <v/>
      </c>
      <c r="Y76" s="446" t="str">
        <f t="shared" si="30"/>
        <v/>
      </c>
      <c r="Z76" s="158">
        <f t="shared" si="31"/>
        <v>49.535714285714292</v>
      </c>
      <c r="AA76" s="23" t="e">
        <f t="shared" si="32"/>
        <v>#DIV/0!</v>
      </c>
      <c r="AB76" s="445" t="e">
        <f t="shared" si="33"/>
        <v>#DIV/0!</v>
      </c>
      <c r="AC76" s="123"/>
    </row>
    <row r="77" spans="1:29" ht="12" customHeight="1">
      <c r="A77" s="11">
        <v>73</v>
      </c>
      <c r="B77" s="12" t="s">
        <v>367</v>
      </c>
      <c r="C77" s="17" t="s">
        <v>368</v>
      </c>
      <c r="D77" s="19" t="s">
        <v>369</v>
      </c>
      <c r="E77" s="17">
        <v>1</v>
      </c>
      <c r="F77" s="18" t="s">
        <v>378</v>
      </c>
      <c r="G77" s="319">
        <v>54.7</v>
      </c>
      <c r="H77" s="19" t="s">
        <v>379</v>
      </c>
      <c r="I77" s="20" t="s">
        <v>371</v>
      </c>
      <c r="J77" s="21" t="s">
        <v>218</v>
      </c>
      <c r="K77" s="12" t="s">
        <v>14</v>
      </c>
      <c r="L77" s="319">
        <f t="shared" si="24"/>
        <v>54.7</v>
      </c>
      <c r="M77" s="315">
        <v>5</v>
      </c>
      <c r="N77" s="78">
        <f>IF(K77="NV","",IF(VLOOKUP(M77,'R_Häufigkeit_Faktoren UHR'!$B$4:$I$24,7,FALSE)=0,"",VLOOKUP(M77,'R_Häufigkeit_Faktoren UHR'!$B$4:$I$24,7,FALSE)))</f>
        <v>20.917857142857144</v>
      </c>
      <c r="O77" s="3">
        <f t="shared" si="25"/>
        <v>1144.2067857142858</v>
      </c>
      <c r="P77" s="325"/>
      <c r="Q77" s="156">
        <f>IF(N77="","",VLOOKUP(J77,Raumgruppen_Leistungswerte!$B$5:$F$35,5,FALSE))</f>
        <v>0</v>
      </c>
      <c r="R77" s="157" t="e">
        <f t="shared" si="26"/>
        <v>#DIV/0!</v>
      </c>
      <c r="S77" s="445" t="e">
        <f t="shared" si="27"/>
        <v>#DIV/0!</v>
      </c>
      <c r="T77" s="78" t="str">
        <f>IF(K77="NV","",IF(VLOOKUP(M77,'R_Häufigkeit_Faktoren UHR'!$B$4:$I$24,8,FALSE)=0,"",VLOOKUP(M77,'R_Häufigkeit_Faktoren UHR'!$B$4:$I$24,8,FALSE)))</f>
        <v/>
      </c>
      <c r="U77" s="156" t="str">
        <f t="shared" si="28"/>
        <v/>
      </c>
      <c r="V77" s="427"/>
      <c r="W77" s="12" t="str">
        <f>IF(T77="","",VLOOKUP(J77,Raumgruppen_Leistungswerte!$B$5:$F$35,5,FALSE))</f>
        <v/>
      </c>
      <c r="X77" s="156" t="str">
        <f t="shared" si="29"/>
        <v/>
      </c>
      <c r="Y77" s="446" t="str">
        <f t="shared" si="30"/>
        <v/>
      </c>
      <c r="Z77" s="158">
        <f t="shared" si="31"/>
        <v>1144.2067857142858</v>
      </c>
      <c r="AA77" s="23" t="e">
        <f t="shared" si="32"/>
        <v>#DIV/0!</v>
      </c>
      <c r="AB77" s="445" t="e">
        <f t="shared" si="33"/>
        <v>#DIV/0!</v>
      </c>
      <c r="AC77" s="123"/>
    </row>
    <row r="78" spans="1:29" ht="12" customHeight="1">
      <c r="A78" s="11">
        <v>74</v>
      </c>
      <c r="B78" s="12" t="s">
        <v>367</v>
      </c>
      <c r="C78" s="17" t="s">
        <v>368</v>
      </c>
      <c r="D78" s="19" t="s">
        <v>369</v>
      </c>
      <c r="E78" s="17">
        <v>1</v>
      </c>
      <c r="F78" s="18" t="s">
        <v>380</v>
      </c>
      <c r="G78" s="319">
        <v>1.3</v>
      </c>
      <c r="H78" s="19" t="s">
        <v>381</v>
      </c>
      <c r="I78" s="14" t="s">
        <v>282</v>
      </c>
      <c r="J78" s="21" t="s">
        <v>245</v>
      </c>
      <c r="K78" s="12" t="s">
        <v>14</v>
      </c>
      <c r="L78" s="319">
        <f t="shared" si="24"/>
        <v>1.3</v>
      </c>
      <c r="M78" s="315">
        <v>5</v>
      </c>
      <c r="N78" s="78">
        <f>IF(K78="NV","",IF(VLOOKUP(M78,'R_Häufigkeit_Faktoren UHR'!$B$4:$I$24,7,FALSE)=0,"",VLOOKUP(M78,'R_Häufigkeit_Faktoren UHR'!$B$4:$I$24,7,FALSE)))</f>
        <v>20.917857142857144</v>
      </c>
      <c r="O78" s="3">
        <f t="shared" si="25"/>
        <v>27.193214285714287</v>
      </c>
      <c r="P78" s="325"/>
      <c r="Q78" s="156">
        <f>IF(N78="","",VLOOKUP(J78,Raumgruppen_Leistungswerte!$B$5:$F$35,5,FALSE))</f>
        <v>0</v>
      </c>
      <c r="R78" s="157" t="e">
        <f t="shared" si="26"/>
        <v>#DIV/0!</v>
      </c>
      <c r="S78" s="445" t="e">
        <f t="shared" si="27"/>
        <v>#DIV/0!</v>
      </c>
      <c r="T78" s="78" t="str">
        <f>IF(K78="NV","",IF(VLOOKUP(M78,'R_Häufigkeit_Faktoren UHR'!$B$4:$I$24,8,FALSE)=0,"",VLOOKUP(M78,'R_Häufigkeit_Faktoren UHR'!$B$4:$I$24,8,FALSE)))</f>
        <v/>
      </c>
      <c r="U78" s="156" t="str">
        <f t="shared" si="28"/>
        <v/>
      </c>
      <c r="V78" s="427"/>
      <c r="W78" s="12" t="str">
        <f>IF(T78="","",VLOOKUP(J78,Raumgruppen_Leistungswerte!$B$5:$F$35,5,FALSE))</f>
        <v/>
      </c>
      <c r="X78" s="156" t="str">
        <f t="shared" si="29"/>
        <v/>
      </c>
      <c r="Y78" s="446" t="str">
        <f t="shared" si="30"/>
        <v/>
      </c>
      <c r="Z78" s="158">
        <f t="shared" si="31"/>
        <v>27.193214285714287</v>
      </c>
      <c r="AA78" s="23" t="e">
        <f t="shared" si="32"/>
        <v>#DIV/0!</v>
      </c>
      <c r="AB78" s="445" t="e">
        <f t="shared" si="33"/>
        <v>#DIV/0!</v>
      </c>
      <c r="AC78" s="123"/>
    </row>
    <row r="79" spans="1:29" ht="12" customHeight="1">
      <c r="A79" s="11">
        <v>75</v>
      </c>
      <c r="B79" s="12" t="s">
        <v>367</v>
      </c>
      <c r="C79" s="17" t="s">
        <v>368</v>
      </c>
      <c r="D79" s="19" t="s">
        <v>369</v>
      </c>
      <c r="E79" s="17">
        <v>1</v>
      </c>
      <c r="F79" s="18" t="s">
        <v>382</v>
      </c>
      <c r="G79" s="319">
        <v>3.6</v>
      </c>
      <c r="H79" s="19" t="s">
        <v>277</v>
      </c>
      <c r="I79" s="14" t="s">
        <v>383</v>
      </c>
      <c r="J79" s="21" t="s">
        <v>251</v>
      </c>
      <c r="K79" s="12" t="s">
        <v>14</v>
      </c>
      <c r="L79" s="319">
        <f t="shared" si="24"/>
        <v>3.6</v>
      </c>
      <c r="M79" s="315">
        <v>1</v>
      </c>
      <c r="N79" s="78">
        <f>IF(K79="NV","",IF(VLOOKUP(M79,'R_Häufigkeit_Faktoren UHR'!$B$4:$I$24,7,FALSE)=0,"",VLOOKUP(M79,'R_Häufigkeit_Faktoren UHR'!$B$4:$I$24,7,FALSE)))</f>
        <v>4.3452380952380958</v>
      </c>
      <c r="O79" s="3">
        <f t="shared" si="25"/>
        <v>15.642857142857146</v>
      </c>
      <c r="P79" s="325"/>
      <c r="Q79" s="156">
        <f>IF(N79="","",VLOOKUP(J79,Raumgruppen_Leistungswerte!$B$5:$F$35,5,FALSE))</f>
        <v>0</v>
      </c>
      <c r="R79" s="157" t="e">
        <f t="shared" si="26"/>
        <v>#DIV/0!</v>
      </c>
      <c r="S79" s="445" t="e">
        <f t="shared" si="27"/>
        <v>#DIV/0!</v>
      </c>
      <c r="T79" s="78" t="str">
        <f>IF(K79="NV","",IF(VLOOKUP(M79,'R_Häufigkeit_Faktoren UHR'!$B$4:$I$24,8,FALSE)=0,"",VLOOKUP(M79,'R_Häufigkeit_Faktoren UHR'!$B$4:$I$24,8,FALSE)))</f>
        <v/>
      </c>
      <c r="U79" s="156" t="str">
        <f t="shared" si="28"/>
        <v/>
      </c>
      <c r="V79" s="427"/>
      <c r="W79" s="12" t="str">
        <f>IF(T79="","",VLOOKUP(J79,Raumgruppen_Leistungswerte!$B$5:$F$35,5,FALSE))</f>
        <v/>
      </c>
      <c r="X79" s="156" t="str">
        <f t="shared" si="29"/>
        <v/>
      </c>
      <c r="Y79" s="446" t="str">
        <f t="shared" si="30"/>
        <v/>
      </c>
      <c r="Z79" s="158">
        <f t="shared" si="31"/>
        <v>15.642857142857146</v>
      </c>
      <c r="AA79" s="23" t="e">
        <f t="shared" si="32"/>
        <v>#DIV/0!</v>
      </c>
      <c r="AB79" s="445" t="e">
        <f t="shared" si="33"/>
        <v>#DIV/0!</v>
      </c>
      <c r="AC79" s="123"/>
    </row>
    <row r="80" spans="1:29" ht="12" customHeight="1">
      <c r="A80" s="11">
        <v>76</v>
      </c>
      <c r="B80" s="12" t="s">
        <v>367</v>
      </c>
      <c r="C80" s="17" t="s">
        <v>368</v>
      </c>
      <c r="D80" s="19" t="s">
        <v>369</v>
      </c>
      <c r="E80" s="17">
        <v>1</v>
      </c>
      <c r="F80" s="18" t="s">
        <v>384</v>
      </c>
      <c r="G80" s="319">
        <v>10.1</v>
      </c>
      <c r="H80" s="19" t="s">
        <v>385</v>
      </c>
      <c r="I80" s="14" t="s">
        <v>282</v>
      </c>
      <c r="J80" s="21" t="s">
        <v>1</v>
      </c>
      <c r="K80" s="12" t="s">
        <v>14</v>
      </c>
      <c r="L80" s="319">
        <f t="shared" si="24"/>
        <v>10.1</v>
      </c>
      <c r="M80" s="315">
        <v>5</v>
      </c>
      <c r="N80" s="79">
        <f>IF(K80="NV","",IF(VLOOKUP(M80,'R_Häufigkeit_Faktoren UHR'!$B$4:$I$24,7,FALSE)=0,"",VLOOKUP(M80,'R_Häufigkeit_Faktoren UHR'!$B$4:$I$24,7,FALSE)))</f>
        <v>20.917857142857144</v>
      </c>
      <c r="O80" s="3">
        <f t="shared" si="25"/>
        <v>211.27035714285716</v>
      </c>
      <c r="P80" s="325"/>
      <c r="Q80" s="156">
        <f>IF(N80="","",VLOOKUP(J80,Raumgruppen_Leistungswerte!$B$5:$F$35,5,FALSE))</f>
        <v>0</v>
      </c>
      <c r="R80" s="157" t="e">
        <f t="shared" si="26"/>
        <v>#DIV/0!</v>
      </c>
      <c r="S80" s="445" t="e">
        <f t="shared" si="27"/>
        <v>#DIV/0!</v>
      </c>
      <c r="T80" s="78" t="str">
        <f>IF(K80="NV","",IF(VLOOKUP(M80,'R_Häufigkeit_Faktoren UHR'!$B$4:$I$24,8,FALSE)=0,"",VLOOKUP(M80,'R_Häufigkeit_Faktoren UHR'!$B$4:$I$24,8,FALSE)))</f>
        <v/>
      </c>
      <c r="U80" s="156" t="str">
        <f t="shared" si="28"/>
        <v/>
      </c>
      <c r="V80" s="427"/>
      <c r="W80" s="12" t="str">
        <f>IF(T80="","",VLOOKUP(J80,Raumgruppen_Leistungswerte!$B$5:$F$35,5,FALSE))</f>
        <v/>
      </c>
      <c r="X80" s="156" t="str">
        <f t="shared" si="29"/>
        <v/>
      </c>
      <c r="Y80" s="446" t="str">
        <f t="shared" si="30"/>
        <v/>
      </c>
      <c r="Z80" s="158">
        <f t="shared" si="31"/>
        <v>211.27035714285716</v>
      </c>
      <c r="AA80" s="23" t="e">
        <f t="shared" si="32"/>
        <v>#DIV/0!</v>
      </c>
      <c r="AB80" s="445" t="e">
        <f t="shared" si="33"/>
        <v>#DIV/0!</v>
      </c>
      <c r="AC80" s="123"/>
    </row>
    <row r="81" spans="1:29" ht="12" customHeight="1">
      <c r="A81" s="11">
        <v>77</v>
      </c>
      <c r="B81" s="12" t="s">
        <v>367</v>
      </c>
      <c r="C81" s="17" t="s">
        <v>368</v>
      </c>
      <c r="D81" s="19" t="s">
        <v>369</v>
      </c>
      <c r="E81" s="17">
        <v>1</v>
      </c>
      <c r="F81" s="18" t="s">
        <v>386</v>
      </c>
      <c r="G81" s="319">
        <v>10.1</v>
      </c>
      <c r="H81" s="19" t="s">
        <v>387</v>
      </c>
      <c r="I81" s="20" t="s">
        <v>282</v>
      </c>
      <c r="J81" s="21" t="s">
        <v>1</v>
      </c>
      <c r="K81" s="12" t="s">
        <v>14</v>
      </c>
      <c r="L81" s="319">
        <f t="shared" si="24"/>
        <v>10.1</v>
      </c>
      <c r="M81" s="315">
        <v>5</v>
      </c>
      <c r="N81" s="79">
        <f>IF(K81="NV","",IF(VLOOKUP(M81,'R_Häufigkeit_Faktoren UHR'!$B$4:$I$24,7,FALSE)=0,"",VLOOKUP(M81,'R_Häufigkeit_Faktoren UHR'!$B$4:$I$24,7,FALSE)))</f>
        <v>20.917857142857144</v>
      </c>
      <c r="O81" s="3">
        <f t="shared" si="25"/>
        <v>211.27035714285716</v>
      </c>
      <c r="P81" s="325"/>
      <c r="Q81" s="156">
        <f>IF(N81="","",VLOOKUP(J81,Raumgruppen_Leistungswerte!$B$5:$F$35,5,FALSE))</f>
        <v>0</v>
      </c>
      <c r="R81" s="157" t="e">
        <f t="shared" si="26"/>
        <v>#DIV/0!</v>
      </c>
      <c r="S81" s="445" t="e">
        <f t="shared" si="27"/>
        <v>#DIV/0!</v>
      </c>
      <c r="T81" s="78" t="str">
        <f>IF(K81="NV","",IF(VLOOKUP(M81,'R_Häufigkeit_Faktoren UHR'!$B$4:$I$24,8,FALSE)=0,"",VLOOKUP(M81,'R_Häufigkeit_Faktoren UHR'!$B$4:$I$24,8,FALSE)))</f>
        <v/>
      </c>
      <c r="U81" s="156" t="str">
        <f t="shared" si="28"/>
        <v/>
      </c>
      <c r="V81" s="427"/>
      <c r="W81" s="12" t="str">
        <f>IF(T81="","",VLOOKUP(J81,Raumgruppen_Leistungswerte!$B$5:$F$35,5,FALSE))</f>
        <v/>
      </c>
      <c r="X81" s="156" t="str">
        <f t="shared" si="29"/>
        <v/>
      </c>
      <c r="Y81" s="446" t="str">
        <f t="shared" si="30"/>
        <v/>
      </c>
      <c r="Z81" s="158">
        <f t="shared" si="31"/>
        <v>211.27035714285716</v>
      </c>
      <c r="AA81" s="23" t="e">
        <f t="shared" si="32"/>
        <v>#DIV/0!</v>
      </c>
      <c r="AB81" s="445" t="e">
        <f t="shared" si="33"/>
        <v>#DIV/0!</v>
      </c>
      <c r="AC81" s="123"/>
    </row>
    <row r="82" spans="1:29" ht="12" customHeight="1">
      <c r="A82" s="11">
        <v>78</v>
      </c>
      <c r="B82" s="12" t="s">
        <v>367</v>
      </c>
      <c r="C82" s="17" t="s">
        <v>368</v>
      </c>
      <c r="D82" s="19" t="s">
        <v>272</v>
      </c>
      <c r="E82" s="17">
        <v>1</v>
      </c>
      <c r="F82" s="18" t="s">
        <v>388</v>
      </c>
      <c r="G82" s="319">
        <v>38.799999999999997</v>
      </c>
      <c r="H82" s="19" t="s">
        <v>365</v>
      </c>
      <c r="I82" s="20" t="s">
        <v>335</v>
      </c>
      <c r="J82" s="21" t="s">
        <v>240</v>
      </c>
      <c r="K82" s="12" t="s">
        <v>14</v>
      </c>
      <c r="L82" s="319">
        <f t="shared" si="24"/>
        <v>38.799999999999997</v>
      </c>
      <c r="M82" s="315">
        <v>3</v>
      </c>
      <c r="N82" s="79">
        <f>IF(K82="NV","",IF(VLOOKUP(M82,'R_Häufigkeit_Faktoren UHR'!$B$4:$I$24,7,FALSE)=0,"",VLOOKUP(M82,'R_Häufigkeit_Faktoren UHR'!$B$4:$I$24,7,FALSE)))</f>
        <v>13.035714285714286</v>
      </c>
      <c r="O82" s="3">
        <f t="shared" si="25"/>
        <v>505.78571428571428</v>
      </c>
      <c r="P82" s="325"/>
      <c r="Q82" s="156">
        <f>IF(N82="","",VLOOKUP(J82,Raumgruppen_Leistungswerte!$B$5:$F$35,5,FALSE))</f>
        <v>0</v>
      </c>
      <c r="R82" s="157" t="e">
        <f t="shared" si="26"/>
        <v>#DIV/0!</v>
      </c>
      <c r="S82" s="445" t="e">
        <f t="shared" si="27"/>
        <v>#DIV/0!</v>
      </c>
      <c r="T82" s="78" t="str">
        <f>IF(K82="NV","",IF(VLOOKUP(M82,'R_Häufigkeit_Faktoren UHR'!$B$4:$I$24,8,FALSE)=0,"",VLOOKUP(M82,'R_Häufigkeit_Faktoren UHR'!$B$4:$I$24,8,FALSE)))</f>
        <v/>
      </c>
      <c r="U82" s="156" t="str">
        <f t="shared" si="28"/>
        <v/>
      </c>
      <c r="V82" s="427"/>
      <c r="W82" s="12" t="str">
        <f>IF(T82="","",VLOOKUP(J82,Raumgruppen_Leistungswerte!$B$5:$F$35,5,FALSE))</f>
        <v/>
      </c>
      <c r="X82" s="156" t="str">
        <f t="shared" si="29"/>
        <v/>
      </c>
      <c r="Y82" s="446" t="str">
        <f t="shared" si="30"/>
        <v/>
      </c>
      <c r="Z82" s="158">
        <f t="shared" si="31"/>
        <v>505.78571428571428</v>
      </c>
      <c r="AA82" s="23" t="e">
        <f t="shared" si="32"/>
        <v>#DIV/0!</v>
      </c>
      <c r="AB82" s="445" t="e">
        <f t="shared" si="33"/>
        <v>#DIV/0!</v>
      </c>
      <c r="AC82" s="123"/>
    </row>
    <row r="83" spans="1:29" ht="12" customHeight="1">
      <c r="A83" s="11">
        <v>79</v>
      </c>
      <c r="B83" s="12" t="s">
        <v>367</v>
      </c>
      <c r="C83" s="17" t="s">
        <v>368</v>
      </c>
      <c r="D83" s="19" t="s">
        <v>369</v>
      </c>
      <c r="E83" s="17">
        <v>1</v>
      </c>
      <c r="F83" s="18" t="s">
        <v>333</v>
      </c>
      <c r="G83" s="319">
        <v>37.200000000000003</v>
      </c>
      <c r="H83" s="19" t="s">
        <v>320</v>
      </c>
      <c r="I83" s="20" t="s">
        <v>335</v>
      </c>
      <c r="J83" s="21" t="s">
        <v>242</v>
      </c>
      <c r="K83" s="12" t="s">
        <v>14</v>
      </c>
      <c r="L83" s="319">
        <f t="shared" si="24"/>
        <v>37.200000000000003</v>
      </c>
      <c r="M83" s="315">
        <v>5</v>
      </c>
      <c r="N83" s="79">
        <f>IF(K83="NV","",IF(VLOOKUP(M83,'R_Häufigkeit_Faktoren UHR'!$B$4:$I$24,7,FALSE)=0,"",VLOOKUP(M83,'R_Häufigkeit_Faktoren UHR'!$B$4:$I$24,7,FALSE)))</f>
        <v>20.917857142857144</v>
      </c>
      <c r="O83" s="3">
        <f t="shared" si="25"/>
        <v>778.14428571428584</v>
      </c>
      <c r="P83" s="325"/>
      <c r="Q83" s="156">
        <f>IF(N83="","",VLOOKUP(J83,Raumgruppen_Leistungswerte!$B$5:$F$35,5,FALSE))</f>
        <v>0</v>
      </c>
      <c r="R83" s="157" t="e">
        <f t="shared" si="26"/>
        <v>#DIV/0!</v>
      </c>
      <c r="S83" s="445" t="e">
        <f t="shared" si="27"/>
        <v>#DIV/0!</v>
      </c>
      <c r="T83" s="78" t="str">
        <f>IF(K83="NV","",IF(VLOOKUP(M83,'R_Häufigkeit_Faktoren UHR'!$B$4:$I$24,8,FALSE)=0,"",VLOOKUP(M83,'R_Häufigkeit_Faktoren UHR'!$B$4:$I$24,8,FALSE)))</f>
        <v/>
      </c>
      <c r="U83" s="156" t="str">
        <f t="shared" si="28"/>
        <v/>
      </c>
      <c r="V83" s="427"/>
      <c r="W83" s="12" t="str">
        <f>IF(T83="","",VLOOKUP(J83,Raumgruppen_Leistungswerte!$B$5:$F$35,5,FALSE))</f>
        <v/>
      </c>
      <c r="X83" s="156" t="str">
        <f t="shared" si="29"/>
        <v/>
      </c>
      <c r="Y83" s="446" t="str">
        <f t="shared" si="30"/>
        <v/>
      </c>
      <c r="Z83" s="158">
        <f t="shared" si="31"/>
        <v>778.14428571428584</v>
      </c>
      <c r="AA83" s="23" t="e">
        <f t="shared" si="32"/>
        <v>#DIV/0!</v>
      </c>
      <c r="AB83" s="445" t="e">
        <f t="shared" si="33"/>
        <v>#DIV/0!</v>
      </c>
      <c r="AC83" s="123"/>
    </row>
    <row r="84" spans="1:29" ht="12" customHeight="1">
      <c r="A84" s="11">
        <v>80</v>
      </c>
      <c r="B84" s="12" t="s">
        <v>367</v>
      </c>
      <c r="C84" s="17" t="s">
        <v>368</v>
      </c>
      <c r="D84" s="19" t="s">
        <v>287</v>
      </c>
      <c r="E84" s="17">
        <v>1</v>
      </c>
      <c r="F84" s="18" t="s">
        <v>336</v>
      </c>
      <c r="G84" s="319">
        <v>5.3</v>
      </c>
      <c r="H84" s="19" t="s">
        <v>337</v>
      </c>
      <c r="I84" s="20" t="s">
        <v>335</v>
      </c>
      <c r="J84" s="21" t="s">
        <v>242</v>
      </c>
      <c r="K84" s="12" t="s">
        <v>14</v>
      </c>
      <c r="L84" s="319">
        <f t="shared" si="24"/>
        <v>5.3</v>
      </c>
      <c r="M84" s="315">
        <v>5</v>
      </c>
      <c r="N84" s="79">
        <f>IF(K84="NV","",IF(VLOOKUP(M84,'R_Häufigkeit_Faktoren UHR'!$B$4:$I$24,7,FALSE)=0,"",VLOOKUP(M84,'R_Häufigkeit_Faktoren UHR'!$B$4:$I$24,7,FALSE)))</f>
        <v>20.917857142857144</v>
      </c>
      <c r="O84" s="3">
        <f t="shared" si="25"/>
        <v>110.86464285714287</v>
      </c>
      <c r="P84" s="325"/>
      <c r="Q84" s="156">
        <f>IF(N84="","",VLOOKUP(J84,Raumgruppen_Leistungswerte!$B$5:$F$35,5,FALSE))</f>
        <v>0</v>
      </c>
      <c r="R84" s="157" t="e">
        <f t="shared" si="26"/>
        <v>#DIV/0!</v>
      </c>
      <c r="S84" s="445" t="e">
        <f t="shared" si="27"/>
        <v>#DIV/0!</v>
      </c>
      <c r="T84" s="78" t="str">
        <f>IF(K84="NV","",IF(VLOOKUP(M84,'R_Häufigkeit_Faktoren UHR'!$B$4:$I$24,8,FALSE)=0,"",VLOOKUP(M84,'R_Häufigkeit_Faktoren UHR'!$B$4:$I$24,8,FALSE)))</f>
        <v/>
      </c>
      <c r="U84" s="156" t="str">
        <f t="shared" si="28"/>
        <v/>
      </c>
      <c r="V84" s="427"/>
      <c r="W84" s="12" t="str">
        <f>IF(T84="","",VLOOKUP(J84,Raumgruppen_Leistungswerte!$B$5:$F$35,5,FALSE))</f>
        <v/>
      </c>
      <c r="X84" s="156" t="str">
        <f t="shared" si="29"/>
        <v/>
      </c>
      <c r="Y84" s="446" t="str">
        <f t="shared" si="30"/>
        <v/>
      </c>
      <c r="Z84" s="158">
        <f t="shared" si="31"/>
        <v>110.86464285714287</v>
      </c>
      <c r="AA84" s="23" t="e">
        <f t="shared" si="32"/>
        <v>#DIV/0!</v>
      </c>
      <c r="AB84" s="445" t="e">
        <f t="shared" si="33"/>
        <v>#DIV/0!</v>
      </c>
      <c r="AC84" s="123"/>
    </row>
    <row r="85" spans="1:29" ht="12" customHeight="1">
      <c r="A85" s="11">
        <v>81</v>
      </c>
      <c r="B85" s="12" t="s">
        <v>367</v>
      </c>
      <c r="C85" s="17" t="s">
        <v>368</v>
      </c>
      <c r="D85" s="19" t="s">
        <v>272</v>
      </c>
      <c r="E85" s="17">
        <v>1</v>
      </c>
      <c r="F85" s="18" t="s">
        <v>338</v>
      </c>
      <c r="G85" s="319">
        <v>16.100000000000001</v>
      </c>
      <c r="H85" s="19" t="s">
        <v>389</v>
      </c>
      <c r="I85" s="14" t="s">
        <v>335</v>
      </c>
      <c r="J85" s="21" t="s">
        <v>242</v>
      </c>
      <c r="K85" s="12" t="s">
        <v>14</v>
      </c>
      <c r="L85" s="319">
        <f t="shared" si="24"/>
        <v>16.100000000000001</v>
      </c>
      <c r="M85" s="315">
        <v>5</v>
      </c>
      <c r="N85" s="79">
        <f>IF(K85="NV","",IF(VLOOKUP(M85,'R_Häufigkeit_Faktoren UHR'!$B$4:$I$24,7,FALSE)=0,"",VLOOKUP(M85,'R_Häufigkeit_Faktoren UHR'!$B$4:$I$24,7,FALSE)))</f>
        <v>20.917857142857144</v>
      </c>
      <c r="O85" s="3">
        <f t="shared" si="25"/>
        <v>336.77750000000003</v>
      </c>
      <c r="P85" s="325"/>
      <c r="Q85" s="156">
        <f>IF(N85="","",VLOOKUP(J85,Raumgruppen_Leistungswerte!$B$5:$F$35,5,FALSE))</f>
        <v>0</v>
      </c>
      <c r="R85" s="157" t="e">
        <f t="shared" si="26"/>
        <v>#DIV/0!</v>
      </c>
      <c r="S85" s="445" t="e">
        <f t="shared" si="27"/>
        <v>#DIV/0!</v>
      </c>
      <c r="T85" s="78" t="str">
        <f>IF(K85="NV","",IF(VLOOKUP(M85,'R_Häufigkeit_Faktoren UHR'!$B$4:$I$24,8,FALSE)=0,"",VLOOKUP(M85,'R_Häufigkeit_Faktoren UHR'!$B$4:$I$24,8,FALSE)))</f>
        <v/>
      </c>
      <c r="U85" s="156" t="str">
        <f t="shared" si="28"/>
        <v/>
      </c>
      <c r="V85" s="427"/>
      <c r="W85" s="12" t="str">
        <f>IF(T85="","",VLOOKUP(J85,Raumgruppen_Leistungswerte!$B$5:$F$35,5,FALSE))</f>
        <v/>
      </c>
      <c r="X85" s="156" t="str">
        <f t="shared" si="29"/>
        <v/>
      </c>
      <c r="Y85" s="446" t="str">
        <f t="shared" si="30"/>
        <v/>
      </c>
      <c r="Z85" s="158">
        <f t="shared" si="31"/>
        <v>336.77750000000003</v>
      </c>
      <c r="AA85" s="23" t="e">
        <f t="shared" si="32"/>
        <v>#DIV/0!</v>
      </c>
      <c r="AB85" s="445" t="e">
        <f t="shared" si="33"/>
        <v>#DIV/0!</v>
      </c>
      <c r="AC85" s="123"/>
    </row>
    <row r="86" spans="1:29" ht="12" customHeight="1">
      <c r="A86" s="11">
        <v>82</v>
      </c>
      <c r="B86" s="12" t="s">
        <v>367</v>
      </c>
      <c r="C86" s="17" t="s">
        <v>368</v>
      </c>
      <c r="D86" s="19" t="s">
        <v>390</v>
      </c>
      <c r="E86" s="17">
        <v>1</v>
      </c>
      <c r="F86" s="18" t="s">
        <v>391</v>
      </c>
      <c r="G86" s="319">
        <v>11.6</v>
      </c>
      <c r="H86" s="19" t="s">
        <v>392</v>
      </c>
      <c r="I86" s="14"/>
      <c r="J86" s="21" t="s">
        <v>238</v>
      </c>
      <c r="K86" s="12" t="s">
        <v>14</v>
      </c>
      <c r="L86" s="319">
        <f t="shared" si="24"/>
        <v>11.6</v>
      </c>
      <c r="M86" s="315">
        <v>5</v>
      </c>
      <c r="N86" s="79">
        <f>IF(K86="NV","",IF(VLOOKUP(M86,'R_Häufigkeit_Faktoren UHR'!$B$4:$I$24,7,FALSE)=0,"",VLOOKUP(M86,'R_Häufigkeit_Faktoren UHR'!$B$4:$I$24,7,FALSE)))</f>
        <v>20.917857142857144</v>
      </c>
      <c r="O86" s="3">
        <f t="shared" si="25"/>
        <v>242.64714285714288</v>
      </c>
      <c r="P86" s="325"/>
      <c r="Q86" s="156">
        <f>IF(N86="","",VLOOKUP(J86,Raumgruppen_Leistungswerte!$B$5:$F$35,5,FALSE))</f>
        <v>0</v>
      </c>
      <c r="R86" s="157" t="e">
        <f t="shared" si="26"/>
        <v>#DIV/0!</v>
      </c>
      <c r="S86" s="445" t="e">
        <f t="shared" si="27"/>
        <v>#DIV/0!</v>
      </c>
      <c r="T86" s="78" t="str">
        <f>IF(K86="NV","",IF(VLOOKUP(M86,'R_Häufigkeit_Faktoren UHR'!$B$4:$I$24,8,FALSE)=0,"",VLOOKUP(M86,'R_Häufigkeit_Faktoren UHR'!$B$4:$I$24,8,FALSE)))</f>
        <v/>
      </c>
      <c r="U86" s="156" t="str">
        <f t="shared" si="28"/>
        <v/>
      </c>
      <c r="V86" s="427"/>
      <c r="W86" s="12" t="str">
        <f>IF(T86="","",VLOOKUP(J86,Raumgruppen_Leistungswerte!$B$5:$F$35,5,FALSE))</f>
        <v/>
      </c>
      <c r="X86" s="156" t="str">
        <f t="shared" si="29"/>
        <v/>
      </c>
      <c r="Y86" s="446" t="str">
        <f t="shared" si="30"/>
        <v/>
      </c>
      <c r="Z86" s="158">
        <f t="shared" si="31"/>
        <v>242.64714285714288</v>
      </c>
      <c r="AA86" s="23" t="e">
        <f t="shared" si="32"/>
        <v>#DIV/0!</v>
      </c>
      <c r="AB86" s="445" t="e">
        <f t="shared" si="33"/>
        <v>#DIV/0!</v>
      </c>
      <c r="AC86" s="123"/>
    </row>
    <row r="87" spans="1:29" ht="12" customHeight="1">
      <c r="A87" s="11">
        <v>83</v>
      </c>
      <c r="B87" s="12" t="s">
        <v>367</v>
      </c>
      <c r="C87" s="17" t="s">
        <v>368</v>
      </c>
      <c r="D87" s="19" t="s">
        <v>390</v>
      </c>
      <c r="E87" s="17">
        <v>1</v>
      </c>
      <c r="F87" s="18" t="s">
        <v>393</v>
      </c>
      <c r="G87" s="319">
        <v>59.2</v>
      </c>
      <c r="H87" s="19" t="s">
        <v>394</v>
      </c>
      <c r="I87" s="14" t="s">
        <v>335</v>
      </c>
      <c r="J87" s="15" t="s">
        <v>218</v>
      </c>
      <c r="K87" s="12" t="s">
        <v>14</v>
      </c>
      <c r="L87" s="319">
        <f t="shared" si="24"/>
        <v>59.2</v>
      </c>
      <c r="M87" s="315">
        <v>5</v>
      </c>
      <c r="N87" s="79">
        <f>IF(K87="NV","",IF(VLOOKUP(M87,'R_Häufigkeit_Faktoren UHR'!$B$4:$I$24,7,FALSE)=0,"",VLOOKUP(M87,'R_Häufigkeit_Faktoren UHR'!$B$4:$I$24,7,FALSE)))</f>
        <v>20.917857142857144</v>
      </c>
      <c r="O87" s="3">
        <f t="shared" si="25"/>
        <v>1238.3371428571429</v>
      </c>
      <c r="P87" s="325"/>
      <c r="Q87" s="156">
        <f>IF(N87="","",VLOOKUP(J87,Raumgruppen_Leistungswerte!$B$5:$F$35,5,FALSE))</f>
        <v>0</v>
      </c>
      <c r="R87" s="157" t="e">
        <f t="shared" si="26"/>
        <v>#DIV/0!</v>
      </c>
      <c r="S87" s="445" t="e">
        <f t="shared" si="27"/>
        <v>#DIV/0!</v>
      </c>
      <c r="T87" s="78" t="str">
        <f>IF(K87="NV","",IF(VLOOKUP(M87,'R_Häufigkeit_Faktoren UHR'!$B$4:$I$24,8,FALSE)=0,"",VLOOKUP(M87,'R_Häufigkeit_Faktoren UHR'!$B$4:$I$24,8,FALSE)))</f>
        <v/>
      </c>
      <c r="U87" s="156" t="str">
        <f t="shared" si="28"/>
        <v/>
      </c>
      <c r="V87" s="427"/>
      <c r="W87" s="12" t="str">
        <f>IF(T87="","",VLOOKUP(J87,Raumgruppen_Leistungswerte!$B$5:$F$35,5,FALSE))</f>
        <v/>
      </c>
      <c r="X87" s="156" t="str">
        <f t="shared" si="29"/>
        <v/>
      </c>
      <c r="Y87" s="446" t="str">
        <f t="shared" si="30"/>
        <v/>
      </c>
      <c r="Z87" s="158">
        <f t="shared" si="31"/>
        <v>1238.3371428571429</v>
      </c>
      <c r="AA87" s="23" t="e">
        <f t="shared" si="32"/>
        <v>#DIV/0!</v>
      </c>
      <c r="AB87" s="445" t="e">
        <f t="shared" si="33"/>
        <v>#DIV/0!</v>
      </c>
      <c r="AC87" s="123"/>
    </row>
    <row r="88" spans="1:29" ht="12" customHeight="1">
      <c r="A88" s="11">
        <v>84</v>
      </c>
      <c r="B88" s="12" t="s">
        <v>367</v>
      </c>
      <c r="C88" s="17" t="s">
        <v>368</v>
      </c>
      <c r="D88" s="19" t="s">
        <v>390</v>
      </c>
      <c r="E88" s="17">
        <v>1</v>
      </c>
      <c r="F88" s="18" t="s">
        <v>395</v>
      </c>
      <c r="G88" s="319">
        <v>11.11</v>
      </c>
      <c r="H88" s="19" t="s">
        <v>396</v>
      </c>
      <c r="I88" s="20" t="s">
        <v>335</v>
      </c>
      <c r="J88" s="21" t="s">
        <v>245</v>
      </c>
      <c r="K88" s="12" t="s">
        <v>14</v>
      </c>
      <c r="L88" s="319">
        <f t="shared" si="24"/>
        <v>11.11</v>
      </c>
      <c r="M88" s="315">
        <v>5</v>
      </c>
      <c r="N88" s="79">
        <f>IF(K88="NV","",IF(VLOOKUP(M88,'R_Häufigkeit_Faktoren UHR'!$B$4:$I$24,7,FALSE)=0,"",VLOOKUP(M88,'R_Häufigkeit_Faktoren UHR'!$B$4:$I$24,7,FALSE)))</f>
        <v>20.917857142857144</v>
      </c>
      <c r="O88" s="3">
        <f t="shared" si="25"/>
        <v>232.39739285714288</v>
      </c>
      <c r="P88" s="325"/>
      <c r="Q88" s="156">
        <f>IF(N88="","",VLOOKUP(J88,Raumgruppen_Leistungswerte!$B$5:$F$35,5,FALSE))</f>
        <v>0</v>
      </c>
      <c r="R88" s="157" t="e">
        <f t="shared" si="26"/>
        <v>#DIV/0!</v>
      </c>
      <c r="S88" s="445" t="e">
        <f t="shared" si="27"/>
        <v>#DIV/0!</v>
      </c>
      <c r="T88" s="78" t="str">
        <f>IF(K88="NV","",IF(VLOOKUP(M88,'R_Häufigkeit_Faktoren UHR'!$B$4:$I$24,8,FALSE)=0,"",VLOOKUP(M88,'R_Häufigkeit_Faktoren UHR'!$B$4:$I$24,8,FALSE)))</f>
        <v/>
      </c>
      <c r="U88" s="156" t="str">
        <f t="shared" si="28"/>
        <v/>
      </c>
      <c r="V88" s="427"/>
      <c r="W88" s="12" t="str">
        <f>IF(T88="","",VLOOKUP(J88,Raumgruppen_Leistungswerte!$B$5:$F$35,5,FALSE))</f>
        <v/>
      </c>
      <c r="X88" s="156" t="str">
        <f t="shared" si="29"/>
        <v/>
      </c>
      <c r="Y88" s="446" t="str">
        <f t="shared" si="30"/>
        <v/>
      </c>
      <c r="Z88" s="158">
        <f t="shared" si="31"/>
        <v>232.39739285714288</v>
      </c>
      <c r="AA88" s="23" t="e">
        <f t="shared" si="32"/>
        <v>#DIV/0!</v>
      </c>
      <c r="AB88" s="445" t="e">
        <f t="shared" si="33"/>
        <v>#DIV/0!</v>
      </c>
      <c r="AC88" s="123"/>
    </row>
    <row r="89" spans="1:29" ht="12" customHeight="1">
      <c r="A89" s="11">
        <v>85</v>
      </c>
      <c r="B89" s="12" t="s">
        <v>367</v>
      </c>
      <c r="C89" s="17" t="s">
        <v>368</v>
      </c>
      <c r="D89" s="19" t="s">
        <v>390</v>
      </c>
      <c r="E89" s="17">
        <v>1</v>
      </c>
      <c r="F89" s="18" t="s">
        <v>397</v>
      </c>
      <c r="G89" s="319">
        <v>9.5</v>
      </c>
      <c r="H89" s="19" t="s">
        <v>398</v>
      </c>
      <c r="I89" s="20" t="s">
        <v>383</v>
      </c>
      <c r="J89" s="21" t="s">
        <v>253</v>
      </c>
      <c r="K89" s="12" t="s">
        <v>14</v>
      </c>
      <c r="L89" s="319">
        <f t="shared" si="24"/>
        <v>9.5</v>
      </c>
      <c r="M89" s="315">
        <v>1</v>
      </c>
      <c r="N89" s="79">
        <f>IF(K89="NV","",IF(VLOOKUP(M89,'R_Häufigkeit_Faktoren UHR'!$B$4:$I$24,7,FALSE)=0,"",VLOOKUP(M89,'R_Häufigkeit_Faktoren UHR'!$B$4:$I$24,7,FALSE)))</f>
        <v>4.3452380952380958</v>
      </c>
      <c r="O89" s="3">
        <f t="shared" si="25"/>
        <v>41.279761904761912</v>
      </c>
      <c r="P89" s="325"/>
      <c r="Q89" s="156">
        <f>IF(N89="","",VLOOKUP(J89,Raumgruppen_Leistungswerte!$B$5:$F$35,5,FALSE))</f>
        <v>0</v>
      </c>
      <c r="R89" s="157" t="e">
        <f t="shared" si="26"/>
        <v>#DIV/0!</v>
      </c>
      <c r="S89" s="445" t="e">
        <f t="shared" si="27"/>
        <v>#DIV/0!</v>
      </c>
      <c r="T89" s="78" t="str">
        <f>IF(K89="NV","",IF(VLOOKUP(M89,'R_Häufigkeit_Faktoren UHR'!$B$4:$I$24,8,FALSE)=0,"",VLOOKUP(M89,'R_Häufigkeit_Faktoren UHR'!$B$4:$I$24,8,FALSE)))</f>
        <v/>
      </c>
      <c r="U89" s="156" t="str">
        <f t="shared" si="28"/>
        <v/>
      </c>
      <c r="V89" s="427"/>
      <c r="W89" s="12" t="str">
        <f>IF(T89="","",VLOOKUP(J89,Raumgruppen_Leistungswerte!$B$5:$F$35,5,FALSE))</f>
        <v/>
      </c>
      <c r="X89" s="156" t="str">
        <f t="shared" si="29"/>
        <v/>
      </c>
      <c r="Y89" s="446" t="str">
        <f t="shared" si="30"/>
        <v/>
      </c>
      <c r="Z89" s="158">
        <f t="shared" si="31"/>
        <v>41.279761904761912</v>
      </c>
      <c r="AA89" s="23" t="e">
        <f t="shared" si="32"/>
        <v>#DIV/0!</v>
      </c>
      <c r="AB89" s="445" t="e">
        <f t="shared" si="33"/>
        <v>#DIV/0!</v>
      </c>
      <c r="AC89" s="123"/>
    </row>
    <row r="90" spans="1:29" ht="12" customHeight="1">
      <c r="A90" s="11">
        <v>86</v>
      </c>
      <c r="B90" s="12" t="s">
        <v>367</v>
      </c>
      <c r="C90" s="17">
        <v>1</v>
      </c>
      <c r="D90" s="19" t="s">
        <v>272</v>
      </c>
      <c r="E90" s="17">
        <v>1</v>
      </c>
      <c r="F90" s="18" t="s">
        <v>333</v>
      </c>
      <c r="G90" s="319">
        <v>21.5</v>
      </c>
      <c r="H90" s="19" t="s">
        <v>365</v>
      </c>
      <c r="I90" s="20" t="s">
        <v>335</v>
      </c>
      <c r="J90" s="21" t="s">
        <v>240</v>
      </c>
      <c r="K90" s="12" t="s">
        <v>14</v>
      </c>
      <c r="L90" s="319">
        <f t="shared" si="24"/>
        <v>21.5</v>
      </c>
      <c r="M90" s="315">
        <v>3</v>
      </c>
      <c r="N90" s="79">
        <f>IF(K90="NV","",IF(VLOOKUP(M90,'R_Häufigkeit_Faktoren UHR'!$B$4:$I$24,7,FALSE)=0,"",VLOOKUP(M90,'R_Häufigkeit_Faktoren UHR'!$B$4:$I$24,7,FALSE)))</f>
        <v>13.035714285714286</v>
      </c>
      <c r="O90" s="3">
        <f t="shared" si="25"/>
        <v>280.26785714285717</v>
      </c>
      <c r="P90" s="325"/>
      <c r="Q90" s="156">
        <f>IF(N90="","",VLOOKUP(J90,Raumgruppen_Leistungswerte!$B$5:$F$35,5,FALSE))</f>
        <v>0</v>
      </c>
      <c r="R90" s="157" t="e">
        <f t="shared" si="26"/>
        <v>#DIV/0!</v>
      </c>
      <c r="S90" s="445" t="e">
        <f t="shared" si="27"/>
        <v>#DIV/0!</v>
      </c>
      <c r="T90" s="78" t="str">
        <f>IF(K90="NV","",IF(VLOOKUP(M90,'R_Häufigkeit_Faktoren UHR'!$B$4:$I$24,8,FALSE)=0,"",VLOOKUP(M90,'R_Häufigkeit_Faktoren UHR'!$B$4:$I$24,8,FALSE)))</f>
        <v/>
      </c>
      <c r="U90" s="156" t="str">
        <f t="shared" si="28"/>
        <v/>
      </c>
      <c r="V90" s="427"/>
      <c r="W90" s="12" t="str">
        <f>IF(T90="","",VLOOKUP(J90,Raumgruppen_Leistungswerte!$B$5:$F$35,5,FALSE))</f>
        <v/>
      </c>
      <c r="X90" s="156" t="str">
        <f t="shared" si="29"/>
        <v/>
      </c>
      <c r="Y90" s="446" t="str">
        <f t="shared" si="30"/>
        <v/>
      </c>
      <c r="Z90" s="158">
        <f t="shared" si="31"/>
        <v>280.26785714285717</v>
      </c>
      <c r="AA90" s="23" t="e">
        <f t="shared" si="32"/>
        <v>#DIV/0!</v>
      </c>
      <c r="AB90" s="445" t="e">
        <f t="shared" si="33"/>
        <v>#DIV/0!</v>
      </c>
      <c r="AC90" s="123"/>
    </row>
    <row r="91" spans="1:29" ht="12" customHeight="1">
      <c r="A91" s="11">
        <v>87</v>
      </c>
      <c r="B91" s="12" t="s">
        <v>367</v>
      </c>
      <c r="C91" s="17">
        <v>1</v>
      </c>
      <c r="D91" s="19" t="s">
        <v>287</v>
      </c>
      <c r="E91" s="17">
        <v>1</v>
      </c>
      <c r="F91" s="18" t="s">
        <v>336</v>
      </c>
      <c r="G91" s="319">
        <v>6</v>
      </c>
      <c r="H91" s="19" t="s">
        <v>337</v>
      </c>
      <c r="I91" s="20" t="s">
        <v>335</v>
      </c>
      <c r="J91" s="21" t="s">
        <v>242</v>
      </c>
      <c r="K91" s="12" t="s">
        <v>14</v>
      </c>
      <c r="L91" s="319">
        <f t="shared" si="24"/>
        <v>6</v>
      </c>
      <c r="M91" s="315">
        <v>5</v>
      </c>
      <c r="N91" s="79">
        <f>IF(K91="NV","",IF(VLOOKUP(M91,'R_Häufigkeit_Faktoren UHR'!$B$4:$I$24,7,FALSE)=0,"",VLOOKUP(M91,'R_Häufigkeit_Faktoren UHR'!$B$4:$I$24,7,FALSE)))</f>
        <v>20.917857142857144</v>
      </c>
      <c r="O91" s="3">
        <f t="shared" si="25"/>
        <v>125.50714285714287</v>
      </c>
      <c r="P91" s="325"/>
      <c r="Q91" s="156">
        <f>IF(N91="","",VLOOKUP(J91,Raumgruppen_Leistungswerte!$B$5:$F$35,5,FALSE))</f>
        <v>0</v>
      </c>
      <c r="R91" s="157" t="e">
        <f t="shared" si="26"/>
        <v>#DIV/0!</v>
      </c>
      <c r="S91" s="445" t="e">
        <f t="shared" si="27"/>
        <v>#DIV/0!</v>
      </c>
      <c r="T91" s="78" t="str">
        <f>IF(K91="NV","",IF(VLOOKUP(M91,'R_Häufigkeit_Faktoren UHR'!$B$4:$I$24,8,FALSE)=0,"",VLOOKUP(M91,'R_Häufigkeit_Faktoren UHR'!$B$4:$I$24,8,FALSE)))</f>
        <v/>
      </c>
      <c r="U91" s="156" t="str">
        <f t="shared" si="28"/>
        <v/>
      </c>
      <c r="V91" s="427"/>
      <c r="W91" s="12" t="str">
        <f>IF(T91="","",VLOOKUP(J91,Raumgruppen_Leistungswerte!$B$5:$F$35,5,FALSE))</f>
        <v/>
      </c>
      <c r="X91" s="156" t="str">
        <f t="shared" si="29"/>
        <v/>
      </c>
      <c r="Y91" s="446" t="str">
        <f t="shared" si="30"/>
        <v/>
      </c>
      <c r="Z91" s="158">
        <f t="shared" si="31"/>
        <v>125.50714285714287</v>
      </c>
      <c r="AA91" s="23" t="e">
        <f t="shared" si="32"/>
        <v>#DIV/0!</v>
      </c>
      <c r="AB91" s="445" t="e">
        <f t="shared" si="33"/>
        <v>#DIV/0!</v>
      </c>
      <c r="AC91" s="123"/>
    </row>
    <row r="92" spans="1:29" ht="12" customHeight="1">
      <c r="A92" s="11">
        <v>88</v>
      </c>
      <c r="B92" s="12" t="s">
        <v>367</v>
      </c>
      <c r="C92" s="17">
        <v>1</v>
      </c>
      <c r="D92" s="19" t="s">
        <v>272</v>
      </c>
      <c r="E92" s="17">
        <v>1</v>
      </c>
      <c r="F92" s="18" t="s">
        <v>338</v>
      </c>
      <c r="G92" s="319">
        <v>16.7</v>
      </c>
      <c r="H92" s="19" t="s">
        <v>389</v>
      </c>
      <c r="I92" s="20" t="s">
        <v>335</v>
      </c>
      <c r="J92" s="21" t="s">
        <v>238</v>
      </c>
      <c r="K92" s="12" t="s">
        <v>14</v>
      </c>
      <c r="L92" s="319">
        <f t="shared" si="24"/>
        <v>16.7</v>
      </c>
      <c r="M92" s="315">
        <v>5</v>
      </c>
      <c r="N92" s="79">
        <f>IF(K92="NV","",IF(VLOOKUP(M92,'R_Häufigkeit_Faktoren UHR'!$B$4:$I$24,7,FALSE)=0,"",VLOOKUP(M92,'R_Häufigkeit_Faktoren UHR'!$B$4:$I$24,7,FALSE)))</f>
        <v>20.917857142857144</v>
      </c>
      <c r="O92" s="3">
        <f t="shared" si="25"/>
        <v>349.3282142857143</v>
      </c>
      <c r="P92" s="325"/>
      <c r="Q92" s="156">
        <f>IF(N92="","",VLOOKUP(J92,Raumgruppen_Leistungswerte!$B$5:$F$35,5,FALSE))</f>
        <v>0</v>
      </c>
      <c r="R92" s="157" t="e">
        <f t="shared" si="26"/>
        <v>#DIV/0!</v>
      </c>
      <c r="S92" s="445" t="e">
        <f t="shared" si="27"/>
        <v>#DIV/0!</v>
      </c>
      <c r="T92" s="78" t="str">
        <f>IF(K92="NV","",IF(VLOOKUP(M92,'R_Häufigkeit_Faktoren UHR'!$B$4:$I$24,8,FALSE)=0,"",VLOOKUP(M92,'R_Häufigkeit_Faktoren UHR'!$B$4:$I$24,8,FALSE)))</f>
        <v/>
      </c>
      <c r="U92" s="156" t="str">
        <f t="shared" si="28"/>
        <v/>
      </c>
      <c r="V92" s="427"/>
      <c r="W92" s="12" t="str">
        <f>IF(T92="","",VLOOKUP(J92,Raumgruppen_Leistungswerte!$B$5:$F$35,5,FALSE))</f>
        <v/>
      </c>
      <c r="X92" s="156" t="str">
        <f t="shared" si="29"/>
        <v/>
      </c>
      <c r="Y92" s="446" t="str">
        <f t="shared" si="30"/>
        <v/>
      </c>
      <c r="Z92" s="158">
        <f t="shared" si="31"/>
        <v>349.3282142857143</v>
      </c>
      <c r="AA92" s="23" t="e">
        <f t="shared" si="32"/>
        <v>#DIV/0!</v>
      </c>
      <c r="AB92" s="445" t="e">
        <f t="shared" si="33"/>
        <v>#DIV/0!</v>
      </c>
      <c r="AC92" s="123"/>
    </row>
    <row r="93" spans="1:29" ht="12" customHeight="1">
      <c r="A93" s="11">
        <v>89</v>
      </c>
      <c r="B93" s="12" t="s">
        <v>367</v>
      </c>
      <c r="C93" s="17">
        <v>1</v>
      </c>
      <c r="D93" s="19" t="s">
        <v>399</v>
      </c>
      <c r="E93" s="17">
        <v>1</v>
      </c>
      <c r="F93" s="18" t="s">
        <v>400</v>
      </c>
      <c r="G93" s="319">
        <v>12.9</v>
      </c>
      <c r="H93" s="19" t="s">
        <v>320</v>
      </c>
      <c r="I93" s="20" t="s">
        <v>371</v>
      </c>
      <c r="J93" s="15" t="s">
        <v>238</v>
      </c>
      <c r="K93" s="12" t="s">
        <v>14</v>
      </c>
      <c r="L93" s="319">
        <f t="shared" si="24"/>
        <v>12.9</v>
      </c>
      <c r="M93" s="315">
        <v>5</v>
      </c>
      <c r="N93" s="79">
        <f>IF(K93="NV","",IF(VLOOKUP(M93,'R_Häufigkeit_Faktoren UHR'!$B$4:$I$24,7,FALSE)=0,"",VLOOKUP(M93,'R_Häufigkeit_Faktoren UHR'!$B$4:$I$24,7,FALSE)))</f>
        <v>20.917857142857144</v>
      </c>
      <c r="O93" s="3">
        <f t="shared" si="25"/>
        <v>269.84035714285716</v>
      </c>
      <c r="P93" s="325"/>
      <c r="Q93" s="156">
        <f>IF(N93="","",VLOOKUP(J93,Raumgruppen_Leistungswerte!$B$5:$F$35,5,FALSE))</f>
        <v>0</v>
      </c>
      <c r="R93" s="157" t="e">
        <f t="shared" si="26"/>
        <v>#DIV/0!</v>
      </c>
      <c r="S93" s="445" t="e">
        <f t="shared" si="27"/>
        <v>#DIV/0!</v>
      </c>
      <c r="T93" s="78" t="str">
        <f>IF(K93="NV","",IF(VLOOKUP(M93,'R_Häufigkeit_Faktoren UHR'!$B$4:$I$24,8,FALSE)=0,"",VLOOKUP(M93,'R_Häufigkeit_Faktoren UHR'!$B$4:$I$24,8,FALSE)))</f>
        <v/>
      </c>
      <c r="U93" s="156" t="str">
        <f t="shared" si="28"/>
        <v/>
      </c>
      <c r="V93" s="427"/>
      <c r="W93" s="12" t="str">
        <f>IF(T93="","",VLOOKUP(J93,Raumgruppen_Leistungswerte!$B$5:$F$35,5,FALSE))</f>
        <v/>
      </c>
      <c r="X93" s="156" t="str">
        <f t="shared" si="29"/>
        <v/>
      </c>
      <c r="Y93" s="446" t="str">
        <f t="shared" si="30"/>
        <v/>
      </c>
      <c r="Z93" s="158">
        <f t="shared" si="31"/>
        <v>269.84035714285716</v>
      </c>
      <c r="AA93" s="23" t="e">
        <f t="shared" si="32"/>
        <v>#DIV/0!</v>
      </c>
      <c r="AB93" s="445" t="e">
        <f t="shared" si="33"/>
        <v>#DIV/0!</v>
      </c>
      <c r="AC93" s="123"/>
    </row>
    <row r="94" spans="1:29" ht="12" customHeight="1">
      <c r="A94" s="11">
        <v>90</v>
      </c>
      <c r="B94" s="12" t="s">
        <v>367</v>
      </c>
      <c r="C94" s="17">
        <v>1</v>
      </c>
      <c r="D94" s="19" t="s">
        <v>399</v>
      </c>
      <c r="E94" s="17">
        <v>1</v>
      </c>
      <c r="F94" s="18" t="s">
        <v>401</v>
      </c>
      <c r="G94" s="319">
        <v>45.3</v>
      </c>
      <c r="H94" s="19" t="s">
        <v>402</v>
      </c>
      <c r="I94" s="20" t="s">
        <v>403</v>
      </c>
      <c r="J94" s="21" t="s">
        <v>218</v>
      </c>
      <c r="K94" s="12" t="s">
        <v>14</v>
      </c>
      <c r="L94" s="319">
        <f t="shared" si="24"/>
        <v>45.3</v>
      </c>
      <c r="M94" s="315">
        <v>5</v>
      </c>
      <c r="N94" s="79">
        <f>IF(K94="NV","",IF(VLOOKUP(M94,'R_Häufigkeit_Faktoren UHR'!$B$4:$I$24,7,FALSE)=0,"",VLOOKUP(M94,'R_Häufigkeit_Faktoren UHR'!$B$4:$I$24,7,FALSE)))</f>
        <v>20.917857142857144</v>
      </c>
      <c r="O94" s="3">
        <f t="shared" si="25"/>
        <v>947.57892857142861</v>
      </c>
      <c r="P94" s="325"/>
      <c r="Q94" s="156">
        <f>IF(N94="","",VLOOKUP(J94,Raumgruppen_Leistungswerte!$B$5:$F$35,5,FALSE))</f>
        <v>0</v>
      </c>
      <c r="R94" s="157" t="e">
        <f t="shared" si="26"/>
        <v>#DIV/0!</v>
      </c>
      <c r="S94" s="445" t="e">
        <f t="shared" si="27"/>
        <v>#DIV/0!</v>
      </c>
      <c r="T94" s="78" t="str">
        <f>IF(K94="NV","",IF(VLOOKUP(M94,'R_Häufigkeit_Faktoren UHR'!$B$4:$I$24,8,FALSE)=0,"",VLOOKUP(M94,'R_Häufigkeit_Faktoren UHR'!$B$4:$I$24,8,FALSE)))</f>
        <v/>
      </c>
      <c r="U94" s="156" t="str">
        <f t="shared" si="28"/>
        <v/>
      </c>
      <c r="V94" s="427"/>
      <c r="W94" s="12" t="str">
        <f>IF(T94="","",VLOOKUP(J94,Raumgruppen_Leistungswerte!$B$5:$F$35,5,FALSE))</f>
        <v/>
      </c>
      <c r="X94" s="156" t="str">
        <f t="shared" si="29"/>
        <v/>
      </c>
      <c r="Y94" s="446" t="str">
        <f t="shared" si="30"/>
        <v/>
      </c>
      <c r="Z94" s="158">
        <f t="shared" si="31"/>
        <v>947.57892857142861</v>
      </c>
      <c r="AA94" s="23" t="e">
        <f t="shared" si="32"/>
        <v>#DIV/0!</v>
      </c>
      <c r="AB94" s="445" t="e">
        <f t="shared" si="33"/>
        <v>#DIV/0!</v>
      </c>
      <c r="AC94" s="123"/>
    </row>
    <row r="95" spans="1:29" ht="12" customHeight="1">
      <c r="A95" s="11">
        <v>91</v>
      </c>
      <c r="B95" s="12" t="s">
        <v>367</v>
      </c>
      <c r="C95" s="17">
        <v>1</v>
      </c>
      <c r="D95" s="19" t="s">
        <v>399</v>
      </c>
      <c r="E95" s="17">
        <v>1</v>
      </c>
      <c r="F95" s="18" t="s">
        <v>404</v>
      </c>
      <c r="G95" s="319">
        <v>3.5</v>
      </c>
      <c r="H95" s="19" t="s">
        <v>405</v>
      </c>
      <c r="I95" s="20" t="s">
        <v>406</v>
      </c>
      <c r="J95" s="21" t="s">
        <v>1</v>
      </c>
      <c r="K95" s="12" t="s">
        <v>14</v>
      </c>
      <c r="L95" s="319">
        <f t="shared" si="24"/>
        <v>3.5</v>
      </c>
      <c r="M95" s="315">
        <v>5</v>
      </c>
      <c r="N95" s="79">
        <f>IF(K95="NV","",IF(VLOOKUP(M95,'R_Häufigkeit_Faktoren UHR'!$B$4:$I$24,7,FALSE)=0,"",VLOOKUP(M95,'R_Häufigkeit_Faktoren UHR'!$B$4:$I$24,7,FALSE)))</f>
        <v>20.917857142857144</v>
      </c>
      <c r="O95" s="3">
        <f t="shared" si="25"/>
        <v>73.212500000000006</v>
      </c>
      <c r="P95" s="325"/>
      <c r="Q95" s="156">
        <f>IF(N95="","",VLOOKUP(J95,Raumgruppen_Leistungswerte!$B$5:$F$35,5,FALSE))</f>
        <v>0</v>
      </c>
      <c r="R95" s="157" t="e">
        <f t="shared" si="26"/>
        <v>#DIV/0!</v>
      </c>
      <c r="S95" s="445" t="e">
        <f t="shared" si="27"/>
        <v>#DIV/0!</v>
      </c>
      <c r="T95" s="78" t="str">
        <f>IF(K95="NV","",IF(VLOOKUP(M95,'R_Häufigkeit_Faktoren UHR'!$B$4:$I$24,8,FALSE)=0,"",VLOOKUP(M95,'R_Häufigkeit_Faktoren UHR'!$B$4:$I$24,8,FALSE)))</f>
        <v/>
      </c>
      <c r="U95" s="156" t="str">
        <f t="shared" si="28"/>
        <v/>
      </c>
      <c r="V95" s="427"/>
      <c r="W95" s="12" t="str">
        <f>IF(T95="","",VLOOKUP(J95,Raumgruppen_Leistungswerte!$B$5:$F$35,5,FALSE))</f>
        <v/>
      </c>
      <c r="X95" s="156" t="str">
        <f t="shared" si="29"/>
        <v/>
      </c>
      <c r="Y95" s="446" t="str">
        <f t="shared" si="30"/>
        <v/>
      </c>
      <c r="Z95" s="158">
        <f t="shared" si="31"/>
        <v>73.212500000000006</v>
      </c>
      <c r="AA95" s="23" t="e">
        <f t="shared" si="32"/>
        <v>#DIV/0!</v>
      </c>
      <c r="AB95" s="445" t="e">
        <f t="shared" si="33"/>
        <v>#DIV/0!</v>
      </c>
      <c r="AC95" s="123"/>
    </row>
    <row r="96" spans="1:29" ht="12" customHeight="1">
      <c r="A96" s="11">
        <v>92</v>
      </c>
      <c r="B96" s="12" t="s">
        <v>367</v>
      </c>
      <c r="C96" s="17">
        <v>1</v>
      </c>
      <c r="D96" s="19" t="s">
        <v>399</v>
      </c>
      <c r="E96" s="17">
        <v>1</v>
      </c>
      <c r="F96" s="18" t="s">
        <v>407</v>
      </c>
      <c r="G96" s="319">
        <v>1.8</v>
      </c>
      <c r="H96" s="19" t="s">
        <v>408</v>
      </c>
      <c r="I96" s="14" t="s">
        <v>406</v>
      </c>
      <c r="J96" s="21" t="s">
        <v>251</v>
      </c>
      <c r="K96" s="12" t="s">
        <v>14</v>
      </c>
      <c r="L96" s="319">
        <f t="shared" si="24"/>
        <v>1.8</v>
      </c>
      <c r="M96" s="315">
        <v>1</v>
      </c>
      <c r="N96" s="79">
        <f>IF(K96="NV","",IF(VLOOKUP(M96,'R_Häufigkeit_Faktoren UHR'!$B$4:$I$24,7,FALSE)=0,"",VLOOKUP(M96,'R_Häufigkeit_Faktoren UHR'!$B$4:$I$24,7,FALSE)))</f>
        <v>4.3452380952380958</v>
      </c>
      <c r="O96" s="3">
        <f t="shared" si="25"/>
        <v>7.821428571428573</v>
      </c>
      <c r="P96" s="325"/>
      <c r="Q96" s="156">
        <f>IF(N96="","",VLOOKUP(J96,Raumgruppen_Leistungswerte!$B$5:$F$35,5,FALSE))</f>
        <v>0</v>
      </c>
      <c r="R96" s="157" t="e">
        <f t="shared" si="26"/>
        <v>#DIV/0!</v>
      </c>
      <c r="S96" s="445" t="e">
        <f t="shared" si="27"/>
        <v>#DIV/0!</v>
      </c>
      <c r="T96" s="78" t="str">
        <f>IF(K96="NV","",IF(VLOOKUP(M96,'R_Häufigkeit_Faktoren UHR'!$B$4:$I$24,8,FALSE)=0,"",VLOOKUP(M96,'R_Häufigkeit_Faktoren UHR'!$B$4:$I$24,8,FALSE)))</f>
        <v/>
      </c>
      <c r="U96" s="156" t="str">
        <f t="shared" si="28"/>
        <v/>
      </c>
      <c r="V96" s="427"/>
      <c r="W96" s="12" t="str">
        <f>IF(T96="","",VLOOKUP(J96,Raumgruppen_Leistungswerte!$B$5:$F$35,5,FALSE))</f>
        <v/>
      </c>
      <c r="X96" s="156" t="str">
        <f t="shared" si="29"/>
        <v/>
      </c>
      <c r="Y96" s="446" t="str">
        <f t="shared" si="30"/>
        <v/>
      </c>
      <c r="Z96" s="158">
        <f t="shared" si="31"/>
        <v>7.821428571428573</v>
      </c>
      <c r="AA96" s="23" t="e">
        <f t="shared" si="32"/>
        <v>#DIV/0!</v>
      </c>
      <c r="AB96" s="445" t="e">
        <f t="shared" si="33"/>
        <v>#DIV/0!</v>
      </c>
      <c r="AC96" s="123"/>
    </row>
    <row r="97" spans="1:29" ht="12" customHeight="1">
      <c r="A97" s="11">
        <v>93</v>
      </c>
      <c r="B97" s="12" t="s">
        <v>367</v>
      </c>
      <c r="C97" s="17">
        <v>1</v>
      </c>
      <c r="D97" s="19" t="s">
        <v>399</v>
      </c>
      <c r="E97" s="17">
        <v>1</v>
      </c>
      <c r="F97" s="18" t="s">
        <v>409</v>
      </c>
      <c r="G97" s="319">
        <v>29.8</v>
      </c>
      <c r="H97" s="19" t="s">
        <v>410</v>
      </c>
      <c r="I97" s="20" t="s">
        <v>371</v>
      </c>
      <c r="J97" s="21" t="s">
        <v>176</v>
      </c>
      <c r="K97" s="12" t="s">
        <v>14</v>
      </c>
      <c r="L97" s="319">
        <f t="shared" si="24"/>
        <v>29.8</v>
      </c>
      <c r="M97" s="315">
        <v>1</v>
      </c>
      <c r="N97" s="79">
        <f>IF(K97="NV","",IF(VLOOKUP(M97,'R_Häufigkeit_Faktoren UHR'!$B$4:$I$24,7,FALSE)=0,"",VLOOKUP(M97,'R_Häufigkeit_Faktoren UHR'!$B$4:$I$24,7,FALSE)))</f>
        <v>4.3452380952380958</v>
      </c>
      <c r="O97" s="3">
        <f t="shared" si="25"/>
        <v>129.48809523809527</v>
      </c>
      <c r="P97" s="325"/>
      <c r="Q97" s="156">
        <f>IF(N97="","",VLOOKUP(J97,Raumgruppen_Leistungswerte!$B$5:$F$35,5,FALSE))</f>
        <v>0</v>
      </c>
      <c r="R97" s="157" t="e">
        <f t="shared" si="26"/>
        <v>#DIV/0!</v>
      </c>
      <c r="S97" s="445" t="e">
        <f t="shared" si="27"/>
        <v>#DIV/0!</v>
      </c>
      <c r="T97" s="78" t="str">
        <f>IF(K97="NV","",IF(VLOOKUP(M97,'R_Häufigkeit_Faktoren UHR'!$B$4:$I$24,8,FALSE)=0,"",VLOOKUP(M97,'R_Häufigkeit_Faktoren UHR'!$B$4:$I$24,8,FALSE)))</f>
        <v/>
      </c>
      <c r="U97" s="156" t="str">
        <f t="shared" si="28"/>
        <v/>
      </c>
      <c r="V97" s="427"/>
      <c r="W97" s="12" t="str">
        <f>IF(T97="","",VLOOKUP(J97,Raumgruppen_Leistungswerte!$B$5:$F$35,5,FALSE))</f>
        <v/>
      </c>
      <c r="X97" s="156" t="str">
        <f t="shared" si="29"/>
        <v/>
      </c>
      <c r="Y97" s="446" t="str">
        <f t="shared" si="30"/>
        <v/>
      </c>
      <c r="Z97" s="158">
        <f t="shared" si="31"/>
        <v>129.48809523809527</v>
      </c>
      <c r="AA97" s="23" t="e">
        <f t="shared" si="32"/>
        <v>#DIV/0!</v>
      </c>
      <c r="AB97" s="445" t="e">
        <f t="shared" si="33"/>
        <v>#DIV/0!</v>
      </c>
      <c r="AC97" s="123"/>
    </row>
    <row r="98" spans="1:29" ht="12" customHeight="1">
      <c r="A98" s="11">
        <v>94</v>
      </c>
      <c r="B98" s="12" t="s">
        <v>367</v>
      </c>
      <c r="C98" s="17">
        <v>1</v>
      </c>
      <c r="D98" s="19" t="s">
        <v>399</v>
      </c>
      <c r="E98" s="17">
        <v>1</v>
      </c>
      <c r="F98" s="18" t="s">
        <v>411</v>
      </c>
      <c r="G98" s="319">
        <v>34.1</v>
      </c>
      <c r="H98" s="19" t="s">
        <v>410</v>
      </c>
      <c r="I98" s="20" t="s">
        <v>371</v>
      </c>
      <c r="J98" s="21" t="s">
        <v>176</v>
      </c>
      <c r="K98" s="12" t="s">
        <v>14</v>
      </c>
      <c r="L98" s="319">
        <f t="shared" si="24"/>
        <v>34.1</v>
      </c>
      <c r="M98" s="315">
        <v>1</v>
      </c>
      <c r="N98" s="79">
        <f>IF(K98="NV","",IF(VLOOKUP(M98,'R_Häufigkeit_Faktoren UHR'!$B$4:$I$24,7,FALSE)=0,"",VLOOKUP(M98,'R_Häufigkeit_Faktoren UHR'!$B$4:$I$24,7,FALSE)))</f>
        <v>4.3452380952380958</v>
      </c>
      <c r="O98" s="3">
        <f t="shared" si="25"/>
        <v>148.17261904761907</v>
      </c>
      <c r="P98" s="325"/>
      <c r="Q98" s="156">
        <f>IF(N98="","",VLOOKUP(J98,Raumgruppen_Leistungswerte!$B$5:$F$35,5,FALSE))</f>
        <v>0</v>
      </c>
      <c r="R98" s="157" t="e">
        <f t="shared" si="26"/>
        <v>#DIV/0!</v>
      </c>
      <c r="S98" s="445" t="e">
        <f t="shared" si="27"/>
        <v>#DIV/0!</v>
      </c>
      <c r="T98" s="78" t="str">
        <f>IF(K98="NV","",IF(VLOOKUP(M98,'R_Häufigkeit_Faktoren UHR'!$B$4:$I$24,8,FALSE)=0,"",VLOOKUP(M98,'R_Häufigkeit_Faktoren UHR'!$B$4:$I$24,8,FALSE)))</f>
        <v/>
      </c>
      <c r="U98" s="156" t="str">
        <f t="shared" si="28"/>
        <v/>
      </c>
      <c r="V98" s="427"/>
      <c r="W98" s="12" t="str">
        <f>IF(T98="","",VLOOKUP(J98,Raumgruppen_Leistungswerte!$B$5:$F$35,5,FALSE))</f>
        <v/>
      </c>
      <c r="X98" s="156" t="str">
        <f t="shared" si="29"/>
        <v/>
      </c>
      <c r="Y98" s="446" t="str">
        <f t="shared" si="30"/>
        <v/>
      </c>
      <c r="Z98" s="158">
        <f t="shared" si="31"/>
        <v>148.17261904761907</v>
      </c>
      <c r="AA98" s="23" t="e">
        <f t="shared" si="32"/>
        <v>#DIV/0!</v>
      </c>
      <c r="AB98" s="445" t="e">
        <f t="shared" si="33"/>
        <v>#DIV/0!</v>
      </c>
      <c r="AC98" s="123"/>
    </row>
    <row r="99" spans="1:29" ht="12" customHeight="1">
      <c r="A99" s="11">
        <v>95</v>
      </c>
      <c r="B99" s="12" t="s">
        <v>367</v>
      </c>
      <c r="C99" s="17">
        <v>1</v>
      </c>
      <c r="D99" s="19" t="s">
        <v>399</v>
      </c>
      <c r="E99" s="17">
        <v>1</v>
      </c>
      <c r="F99" s="316" t="s">
        <v>412</v>
      </c>
      <c r="G99" s="319">
        <v>18.399999999999999</v>
      </c>
      <c r="H99" s="317" t="s">
        <v>410</v>
      </c>
      <c r="I99" s="20" t="s">
        <v>371</v>
      </c>
      <c r="J99" s="21" t="s">
        <v>176</v>
      </c>
      <c r="K99" s="12" t="s">
        <v>14</v>
      </c>
      <c r="L99" s="319">
        <f t="shared" si="24"/>
        <v>18.399999999999999</v>
      </c>
      <c r="M99" s="22">
        <v>1</v>
      </c>
      <c r="N99" s="79">
        <f>IF(K99="NV","",IF(VLOOKUP(M99,'R_Häufigkeit_Faktoren UHR'!$B$4:$I$24,7,FALSE)=0,"",VLOOKUP(M99,'R_Häufigkeit_Faktoren UHR'!$B$4:$I$24,7,FALSE)))</f>
        <v>4.3452380952380958</v>
      </c>
      <c r="O99" s="3">
        <f t="shared" si="25"/>
        <v>79.952380952380963</v>
      </c>
      <c r="P99" s="325"/>
      <c r="Q99" s="156">
        <f>IF(N99="","",VLOOKUP(J99,Raumgruppen_Leistungswerte!$B$5:$F$35,5,FALSE))</f>
        <v>0</v>
      </c>
      <c r="R99" s="157" t="e">
        <f t="shared" si="26"/>
        <v>#DIV/0!</v>
      </c>
      <c r="S99" s="445" t="e">
        <f t="shared" si="27"/>
        <v>#DIV/0!</v>
      </c>
      <c r="T99" s="78" t="str">
        <f>IF(K99="NV","",IF(VLOOKUP(M99,'R_Häufigkeit_Faktoren UHR'!$B$4:$I$24,8,FALSE)=0,"",VLOOKUP(M99,'R_Häufigkeit_Faktoren UHR'!$B$4:$I$24,8,FALSE)))</f>
        <v/>
      </c>
      <c r="U99" s="156" t="str">
        <f t="shared" si="28"/>
        <v/>
      </c>
      <c r="V99" s="427"/>
      <c r="W99" s="12" t="str">
        <f>IF(T99="","",VLOOKUP(J99,Raumgruppen_Leistungswerte!$B$5:$F$35,5,FALSE))</f>
        <v/>
      </c>
      <c r="X99" s="156" t="str">
        <f t="shared" si="29"/>
        <v/>
      </c>
      <c r="Y99" s="446" t="str">
        <f t="shared" si="30"/>
        <v/>
      </c>
      <c r="Z99" s="158">
        <f t="shared" si="31"/>
        <v>79.952380952380963</v>
      </c>
      <c r="AA99" s="23" t="e">
        <f t="shared" si="32"/>
        <v>#DIV/0!</v>
      </c>
      <c r="AB99" s="445" t="e">
        <f t="shared" si="33"/>
        <v>#DIV/0!</v>
      </c>
      <c r="AC99" s="123"/>
    </row>
    <row r="100" spans="1:29" ht="12" customHeight="1">
      <c r="A100" s="11">
        <v>96</v>
      </c>
      <c r="B100" s="12" t="s">
        <v>367</v>
      </c>
      <c r="C100" s="17">
        <v>1</v>
      </c>
      <c r="D100" s="19" t="s">
        <v>399</v>
      </c>
      <c r="E100" s="17">
        <v>1</v>
      </c>
      <c r="F100" s="316" t="s">
        <v>413</v>
      </c>
      <c r="G100" s="319">
        <v>18.399999999999999</v>
      </c>
      <c r="H100" s="317" t="s">
        <v>410</v>
      </c>
      <c r="I100" s="14" t="s">
        <v>371</v>
      </c>
      <c r="J100" s="21" t="s">
        <v>176</v>
      </c>
      <c r="K100" s="12" t="s">
        <v>14</v>
      </c>
      <c r="L100" s="319">
        <f t="shared" si="24"/>
        <v>18.399999999999999</v>
      </c>
      <c r="M100" s="22">
        <v>1</v>
      </c>
      <c r="N100" s="79">
        <f>IF(K100="NV","",IF(VLOOKUP(M100,'R_Häufigkeit_Faktoren UHR'!$B$4:$I$24,7,FALSE)=0,"",VLOOKUP(M100,'R_Häufigkeit_Faktoren UHR'!$B$4:$I$24,7,FALSE)))</f>
        <v>4.3452380952380958</v>
      </c>
      <c r="O100" s="3">
        <f t="shared" si="25"/>
        <v>79.952380952380963</v>
      </c>
      <c r="P100" s="325"/>
      <c r="Q100" s="156">
        <f>IF(N100="","",VLOOKUP(J100,Raumgruppen_Leistungswerte!$B$5:$F$35,5,FALSE))</f>
        <v>0</v>
      </c>
      <c r="R100" s="157" t="e">
        <f t="shared" si="26"/>
        <v>#DIV/0!</v>
      </c>
      <c r="S100" s="445" t="e">
        <f t="shared" si="27"/>
        <v>#DIV/0!</v>
      </c>
      <c r="T100" s="78" t="str">
        <f>IF(K100="NV","",IF(VLOOKUP(M100,'R_Häufigkeit_Faktoren UHR'!$B$4:$I$24,8,FALSE)=0,"",VLOOKUP(M100,'R_Häufigkeit_Faktoren UHR'!$B$4:$I$24,8,FALSE)))</f>
        <v/>
      </c>
      <c r="U100" s="156" t="str">
        <f t="shared" si="28"/>
        <v/>
      </c>
      <c r="V100" s="427"/>
      <c r="W100" s="12" t="str">
        <f>IF(T100="","",VLOOKUP(J100,Raumgruppen_Leistungswerte!$B$5:$F$35,5,FALSE))</f>
        <v/>
      </c>
      <c r="X100" s="156" t="str">
        <f t="shared" si="29"/>
        <v/>
      </c>
      <c r="Y100" s="446" t="str">
        <f t="shared" si="30"/>
        <v/>
      </c>
      <c r="Z100" s="158">
        <f t="shared" si="31"/>
        <v>79.952380952380963</v>
      </c>
      <c r="AA100" s="23" t="e">
        <f t="shared" si="32"/>
        <v>#DIV/0!</v>
      </c>
      <c r="AB100" s="445" t="e">
        <f t="shared" si="33"/>
        <v>#DIV/0!</v>
      </c>
      <c r="AC100" s="123"/>
    </row>
    <row r="101" spans="1:29" ht="12" customHeight="1">
      <c r="A101" s="11">
        <v>97</v>
      </c>
      <c r="B101" s="12" t="s">
        <v>367</v>
      </c>
      <c r="C101" s="17">
        <v>1</v>
      </c>
      <c r="D101" s="19" t="s">
        <v>399</v>
      </c>
      <c r="E101" s="17">
        <v>1</v>
      </c>
      <c r="F101" s="316" t="s">
        <v>414</v>
      </c>
      <c r="G101" s="319">
        <v>33.9</v>
      </c>
      <c r="H101" s="317" t="s">
        <v>415</v>
      </c>
      <c r="I101" s="14" t="s">
        <v>371</v>
      </c>
      <c r="J101" s="21" t="s">
        <v>245</v>
      </c>
      <c r="K101" s="12" t="s">
        <v>14</v>
      </c>
      <c r="L101" s="319">
        <f t="shared" si="24"/>
        <v>33.9</v>
      </c>
      <c r="M101" s="22">
        <v>5</v>
      </c>
      <c r="N101" s="79">
        <f>IF(K101="NV","",IF(VLOOKUP(M101,'R_Häufigkeit_Faktoren UHR'!$B$4:$I$24,7,FALSE)=0,"",VLOOKUP(M101,'R_Häufigkeit_Faktoren UHR'!$B$4:$I$24,7,FALSE)))</f>
        <v>20.917857142857144</v>
      </c>
      <c r="O101" s="3">
        <f t="shared" si="25"/>
        <v>709.11535714285719</v>
      </c>
      <c r="P101" s="325"/>
      <c r="Q101" s="156">
        <f>IF(N101="","",VLOOKUP(J101,Raumgruppen_Leistungswerte!$B$5:$F$35,5,FALSE))</f>
        <v>0</v>
      </c>
      <c r="R101" s="157" t="e">
        <f t="shared" si="26"/>
        <v>#DIV/0!</v>
      </c>
      <c r="S101" s="445" t="e">
        <f t="shared" si="27"/>
        <v>#DIV/0!</v>
      </c>
      <c r="T101" s="78" t="str">
        <f>IF(K101="NV","",IF(VLOOKUP(M101,'R_Häufigkeit_Faktoren UHR'!$B$4:$I$24,8,FALSE)=0,"",VLOOKUP(M101,'R_Häufigkeit_Faktoren UHR'!$B$4:$I$24,8,FALSE)))</f>
        <v/>
      </c>
      <c r="U101" s="156" t="str">
        <f t="shared" si="28"/>
        <v/>
      </c>
      <c r="V101" s="427"/>
      <c r="W101" s="12" t="str">
        <f>IF(T101="","",VLOOKUP(J101,Raumgruppen_Leistungswerte!$B$5:$F$35,5,FALSE))</f>
        <v/>
      </c>
      <c r="X101" s="156" t="str">
        <f t="shared" si="29"/>
        <v/>
      </c>
      <c r="Y101" s="446" t="str">
        <f t="shared" si="30"/>
        <v/>
      </c>
      <c r="Z101" s="158">
        <f t="shared" si="31"/>
        <v>709.11535714285719</v>
      </c>
      <c r="AA101" s="23" t="e">
        <f t="shared" si="32"/>
        <v>#DIV/0!</v>
      </c>
      <c r="AB101" s="445" t="e">
        <f t="shared" si="33"/>
        <v>#DIV/0!</v>
      </c>
      <c r="AC101" s="123"/>
    </row>
    <row r="102" spans="1:29" ht="12" customHeight="1">
      <c r="A102" s="11">
        <v>98</v>
      </c>
      <c r="B102" s="12" t="s">
        <v>367</v>
      </c>
      <c r="C102" s="17">
        <v>1</v>
      </c>
      <c r="D102" s="19" t="s">
        <v>416</v>
      </c>
      <c r="E102" s="17">
        <v>1</v>
      </c>
      <c r="F102" s="316" t="s">
        <v>417</v>
      </c>
      <c r="G102" s="319">
        <v>4.7</v>
      </c>
      <c r="H102" s="317" t="s">
        <v>418</v>
      </c>
      <c r="I102" s="14" t="s">
        <v>383</v>
      </c>
      <c r="J102" s="21" t="s">
        <v>121</v>
      </c>
      <c r="K102" s="12" t="s">
        <v>173</v>
      </c>
      <c r="L102" s="319" t="str">
        <f t="shared" si="24"/>
        <v/>
      </c>
      <c r="M102" s="22"/>
      <c r="N102" s="79" t="str">
        <f>IF(K102="NV","",IF(VLOOKUP(M102,'R_Häufigkeit_Faktoren UHR'!$B$4:$I$24,7,FALSE)=0,"",VLOOKUP(M102,'R_Häufigkeit_Faktoren UHR'!$B$4:$I$24,7,FALSE)))</f>
        <v/>
      </c>
      <c r="O102" s="3" t="str">
        <f t="shared" si="25"/>
        <v/>
      </c>
      <c r="P102" s="325"/>
      <c r="Q102" s="156" t="str">
        <f>IF(N102="","",VLOOKUP(J102,Raumgruppen_Leistungswerte!$B$5:$F$35,5,FALSE))</f>
        <v/>
      </c>
      <c r="R102" s="157" t="str">
        <f t="shared" si="26"/>
        <v/>
      </c>
      <c r="S102" s="445" t="str">
        <f t="shared" si="27"/>
        <v/>
      </c>
      <c r="T102" s="78" t="str">
        <f>IF(K102="NV","",IF(VLOOKUP(M102,'R_Häufigkeit_Faktoren UHR'!$B$4:$I$24,8,FALSE)=0,"",VLOOKUP(M102,'R_Häufigkeit_Faktoren UHR'!$B$4:$I$24,8,FALSE)))</f>
        <v/>
      </c>
      <c r="U102" s="156" t="str">
        <f t="shared" si="28"/>
        <v/>
      </c>
      <c r="V102" s="427"/>
      <c r="W102" s="12" t="str">
        <f>IF(T102="","",VLOOKUP(J102,Raumgruppen_Leistungswerte!$B$5:$F$35,5,FALSE))</f>
        <v/>
      </c>
      <c r="X102" s="156" t="str">
        <f t="shared" si="29"/>
        <v/>
      </c>
      <c r="Y102" s="446" t="str">
        <f t="shared" si="30"/>
        <v/>
      </c>
      <c r="Z102" s="158" t="str">
        <f t="shared" si="31"/>
        <v/>
      </c>
      <c r="AA102" s="23" t="str">
        <f t="shared" si="32"/>
        <v/>
      </c>
      <c r="AB102" s="445" t="str">
        <f t="shared" si="33"/>
        <v/>
      </c>
      <c r="AC102" s="123"/>
    </row>
    <row r="103" spans="1:29" ht="12" customHeight="1">
      <c r="A103" s="11">
        <v>99</v>
      </c>
      <c r="B103" s="12" t="s">
        <v>367</v>
      </c>
      <c r="C103" s="17">
        <v>1</v>
      </c>
      <c r="D103" s="19" t="s">
        <v>399</v>
      </c>
      <c r="E103" s="17">
        <v>1</v>
      </c>
      <c r="F103" s="316" t="s">
        <v>419</v>
      </c>
      <c r="G103" s="319">
        <v>34.1</v>
      </c>
      <c r="H103" s="317" t="s">
        <v>410</v>
      </c>
      <c r="I103" s="20" t="s">
        <v>371</v>
      </c>
      <c r="J103" s="21" t="s">
        <v>176</v>
      </c>
      <c r="K103" s="12" t="s">
        <v>14</v>
      </c>
      <c r="L103" s="319">
        <f t="shared" si="24"/>
        <v>34.1</v>
      </c>
      <c r="M103" s="22">
        <v>1</v>
      </c>
      <c r="N103" s="79">
        <f>IF(K103="NV","",IF(VLOOKUP(M103,'R_Häufigkeit_Faktoren UHR'!$B$4:$I$24,7,FALSE)=0,"",VLOOKUP(M103,'R_Häufigkeit_Faktoren UHR'!$B$4:$I$24,7,FALSE)))</f>
        <v>4.3452380952380958</v>
      </c>
      <c r="O103" s="3">
        <f t="shared" si="25"/>
        <v>148.17261904761907</v>
      </c>
      <c r="P103" s="325"/>
      <c r="Q103" s="156">
        <f>IF(N103="","",VLOOKUP(J103,Raumgruppen_Leistungswerte!$B$5:$F$35,5,FALSE))</f>
        <v>0</v>
      </c>
      <c r="R103" s="157" t="e">
        <f t="shared" si="26"/>
        <v>#DIV/0!</v>
      </c>
      <c r="S103" s="445" t="e">
        <f t="shared" si="27"/>
        <v>#DIV/0!</v>
      </c>
      <c r="T103" s="78" t="str">
        <f>IF(K103="NV","",IF(VLOOKUP(M103,'R_Häufigkeit_Faktoren UHR'!$B$4:$I$24,8,FALSE)=0,"",VLOOKUP(M103,'R_Häufigkeit_Faktoren UHR'!$B$4:$I$24,8,FALSE)))</f>
        <v/>
      </c>
      <c r="U103" s="156" t="str">
        <f t="shared" si="28"/>
        <v/>
      </c>
      <c r="V103" s="427"/>
      <c r="W103" s="12" t="str">
        <f>IF(T103="","",VLOOKUP(J103,Raumgruppen_Leistungswerte!$B$5:$F$35,5,FALSE))</f>
        <v/>
      </c>
      <c r="X103" s="156" t="str">
        <f t="shared" si="29"/>
        <v/>
      </c>
      <c r="Y103" s="446" t="str">
        <f t="shared" si="30"/>
        <v/>
      </c>
      <c r="Z103" s="158">
        <f t="shared" si="31"/>
        <v>148.17261904761907</v>
      </c>
      <c r="AA103" s="23" t="e">
        <f t="shared" si="32"/>
        <v>#DIV/0!</v>
      </c>
      <c r="AB103" s="445" t="e">
        <f t="shared" si="33"/>
        <v>#DIV/0!</v>
      </c>
      <c r="AC103" s="123"/>
    </row>
    <row r="104" spans="1:29" ht="12" customHeight="1">
      <c r="A104" s="11">
        <v>100</v>
      </c>
      <c r="B104" s="12" t="s">
        <v>367</v>
      </c>
      <c r="C104" s="17">
        <v>1</v>
      </c>
      <c r="D104" s="19" t="s">
        <v>399</v>
      </c>
      <c r="E104" s="17">
        <v>1</v>
      </c>
      <c r="F104" s="316" t="s">
        <v>420</v>
      </c>
      <c r="G104" s="319">
        <v>28.9</v>
      </c>
      <c r="H104" s="317" t="s">
        <v>320</v>
      </c>
      <c r="I104" s="20" t="s">
        <v>371</v>
      </c>
      <c r="J104" s="21" t="s">
        <v>238</v>
      </c>
      <c r="K104" s="12" t="s">
        <v>14</v>
      </c>
      <c r="L104" s="319">
        <f t="shared" si="24"/>
        <v>28.9</v>
      </c>
      <c r="M104" s="22">
        <v>5</v>
      </c>
      <c r="N104" s="79">
        <f>IF(K104="NV","",IF(VLOOKUP(M104,'R_Häufigkeit_Faktoren UHR'!$B$4:$I$24,7,FALSE)=0,"",VLOOKUP(M104,'R_Häufigkeit_Faktoren UHR'!$B$4:$I$24,7,FALSE)))</f>
        <v>20.917857142857144</v>
      </c>
      <c r="O104" s="3">
        <f t="shared" si="25"/>
        <v>604.52607142857141</v>
      </c>
      <c r="P104" s="325"/>
      <c r="Q104" s="156">
        <f>IF(N104="","",VLOOKUP(J104,Raumgruppen_Leistungswerte!$B$5:$F$35,5,FALSE))</f>
        <v>0</v>
      </c>
      <c r="R104" s="157" t="e">
        <f t="shared" si="26"/>
        <v>#DIV/0!</v>
      </c>
      <c r="S104" s="445" t="e">
        <f t="shared" si="27"/>
        <v>#DIV/0!</v>
      </c>
      <c r="T104" s="78" t="str">
        <f>IF(K104="NV","",IF(VLOOKUP(M104,'R_Häufigkeit_Faktoren UHR'!$B$4:$I$24,8,FALSE)=0,"",VLOOKUP(M104,'R_Häufigkeit_Faktoren UHR'!$B$4:$I$24,8,FALSE)))</f>
        <v/>
      </c>
      <c r="U104" s="156" t="str">
        <f t="shared" si="28"/>
        <v/>
      </c>
      <c r="V104" s="427"/>
      <c r="W104" s="12" t="str">
        <f>IF(T104="","",VLOOKUP(J104,Raumgruppen_Leistungswerte!$B$5:$F$35,5,FALSE))</f>
        <v/>
      </c>
      <c r="X104" s="156" t="str">
        <f t="shared" si="29"/>
        <v/>
      </c>
      <c r="Y104" s="446" t="str">
        <f t="shared" si="30"/>
        <v/>
      </c>
      <c r="Z104" s="158">
        <f t="shared" si="31"/>
        <v>604.52607142857141</v>
      </c>
      <c r="AA104" s="23" t="e">
        <f t="shared" si="32"/>
        <v>#DIV/0!</v>
      </c>
      <c r="AB104" s="445" t="e">
        <f t="shared" si="33"/>
        <v>#DIV/0!</v>
      </c>
      <c r="AC104" s="123"/>
    </row>
    <row r="105" spans="1:29" ht="12" customHeight="1">
      <c r="A105" s="11">
        <v>101</v>
      </c>
      <c r="B105" s="12" t="s">
        <v>367</v>
      </c>
      <c r="C105" s="17">
        <v>1</v>
      </c>
      <c r="D105" s="19" t="s">
        <v>399</v>
      </c>
      <c r="E105" s="17">
        <v>1</v>
      </c>
      <c r="F105" s="316" t="s">
        <v>421</v>
      </c>
      <c r="G105" s="319">
        <v>19.899999999999999</v>
      </c>
      <c r="H105" s="317" t="s">
        <v>410</v>
      </c>
      <c r="I105" s="14" t="s">
        <v>371</v>
      </c>
      <c r="J105" s="21" t="s">
        <v>176</v>
      </c>
      <c r="K105" s="12" t="s">
        <v>14</v>
      </c>
      <c r="L105" s="319">
        <f t="shared" si="24"/>
        <v>19.899999999999999</v>
      </c>
      <c r="M105" s="22">
        <v>1</v>
      </c>
      <c r="N105" s="79">
        <f>IF(K105="NV","",IF(VLOOKUP(M105,'R_Häufigkeit_Faktoren UHR'!$B$4:$I$24,7,FALSE)=0,"",VLOOKUP(M105,'R_Häufigkeit_Faktoren UHR'!$B$4:$I$24,7,FALSE)))</f>
        <v>4.3452380952380958</v>
      </c>
      <c r="O105" s="3">
        <f t="shared" si="25"/>
        <v>86.470238095238102</v>
      </c>
      <c r="P105" s="325"/>
      <c r="Q105" s="156">
        <f>IF(N105="","",VLOOKUP(J105,Raumgruppen_Leistungswerte!$B$5:$F$35,5,FALSE))</f>
        <v>0</v>
      </c>
      <c r="R105" s="157" t="e">
        <f t="shared" si="26"/>
        <v>#DIV/0!</v>
      </c>
      <c r="S105" s="445" t="e">
        <f t="shared" si="27"/>
        <v>#DIV/0!</v>
      </c>
      <c r="T105" s="78" t="str">
        <f>IF(K105="NV","",IF(VLOOKUP(M105,'R_Häufigkeit_Faktoren UHR'!$B$4:$I$24,8,FALSE)=0,"",VLOOKUP(M105,'R_Häufigkeit_Faktoren UHR'!$B$4:$I$24,8,FALSE)))</f>
        <v/>
      </c>
      <c r="U105" s="156" t="str">
        <f t="shared" si="28"/>
        <v/>
      </c>
      <c r="V105" s="427"/>
      <c r="W105" s="12" t="str">
        <f>IF(T105="","",VLOOKUP(J105,Raumgruppen_Leistungswerte!$B$5:$F$35,5,FALSE))</f>
        <v/>
      </c>
      <c r="X105" s="156" t="str">
        <f t="shared" si="29"/>
        <v/>
      </c>
      <c r="Y105" s="446" t="str">
        <f t="shared" si="30"/>
        <v/>
      </c>
      <c r="Z105" s="158">
        <f t="shared" si="31"/>
        <v>86.470238095238102</v>
      </c>
      <c r="AA105" s="23" t="e">
        <f t="shared" si="32"/>
        <v>#DIV/0!</v>
      </c>
      <c r="AB105" s="445" t="e">
        <f t="shared" si="33"/>
        <v>#DIV/0!</v>
      </c>
      <c r="AC105" s="123"/>
    </row>
    <row r="106" spans="1:29" ht="12" customHeight="1">
      <c r="A106" s="11">
        <v>102</v>
      </c>
      <c r="B106" s="12" t="s">
        <v>367</v>
      </c>
      <c r="C106" s="17">
        <v>1</v>
      </c>
      <c r="D106" s="19" t="s">
        <v>399</v>
      </c>
      <c r="E106" s="17">
        <v>1</v>
      </c>
      <c r="F106" s="316" t="s">
        <v>422</v>
      </c>
      <c r="G106" s="319">
        <v>26.3</v>
      </c>
      <c r="H106" s="317" t="s">
        <v>410</v>
      </c>
      <c r="I106" s="20" t="s">
        <v>371</v>
      </c>
      <c r="J106" s="21" t="s">
        <v>176</v>
      </c>
      <c r="K106" s="12" t="s">
        <v>14</v>
      </c>
      <c r="L106" s="319">
        <f t="shared" si="24"/>
        <v>26.3</v>
      </c>
      <c r="M106" s="22">
        <v>1</v>
      </c>
      <c r="N106" s="79">
        <f>IF(K106="NV","",IF(VLOOKUP(M106,'R_Häufigkeit_Faktoren UHR'!$B$4:$I$24,7,FALSE)=0,"",VLOOKUP(M106,'R_Häufigkeit_Faktoren UHR'!$B$4:$I$24,7,FALSE)))</f>
        <v>4.3452380952380958</v>
      </c>
      <c r="O106" s="3">
        <f t="shared" si="25"/>
        <v>114.27976190476193</v>
      </c>
      <c r="P106" s="325"/>
      <c r="Q106" s="156">
        <f>IF(N106="","",VLOOKUP(J106,Raumgruppen_Leistungswerte!$B$5:$F$35,5,FALSE))</f>
        <v>0</v>
      </c>
      <c r="R106" s="157" t="e">
        <f t="shared" si="26"/>
        <v>#DIV/0!</v>
      </c>
      <c r="S106" s="445" t="e">
        <f t="shared" si="27"/>
        <v>#DIV/0!</v>
      </c>
      <c r="T106" s="78" t="str">
        <f>IF(K106="NV","",IF(VLOOKUP(M106,'R_Häufigkeit_Faktoren UHR'!$B$4:$I$24,8,FALSE)=0,"",VLOOKUP(M106,'R_Häufigkeit_Faktoren UHR'!$B$4:$I$24,8,FALSE)))</f>
        <v/>
      </c>
      <c r="U106" s="156" t="str">
        <f t="shared" si="28"/>
        <v/>
      </c>
      <c r="V106" s="427"/>
      <c r="W106" s="12" t="str">
        <f>IF(T106="","",VLOOKUP(J106,Raumgruppen_Leistungswerte!$B$5:$F$35,5,FALSE))</f>
        <v/>
      </c>
      <c r="X106" s="156" t="str">
        <f t="shared" si="29"/>
        <v/>
      </c>
      <c r="Y106" s="446" t="str">
        <f t="shared" si="30"/>
        <v/>
      </c>
      <c r="Z106" s="158">
        <f t="shared" si="31"/>
        <v>114.27976190476193</v>
      </c>
      <c r="AA106" s="23" t="e">
        <f t="shared" si="32"/>
        <v>#DIV/0!</v>
      </c>
      <c r="AB106" s="445" t="e">
        <f t="shared" si="33"/>
        <v>#DIV/0!</v>
      </c>
      <c r="AC106" s="123"/>
    </row>
    <row r="107" spans="1:29" ht="12" customHeight="1">
      <c r="A107" s="11">
        <v>103</v>
      </c>
      <c r="B107" s="12" t="s">
        <v>367</v>
      </c>
      <c r="C107" s="17">
        <v>1</v>
      </c>
      <c r="D107" s="19" t="s">
        <v>416</v>
      </c>
      <c r="E107" s="17">
        <v>1</v>
      </c>
      <c r="F107" s="316" t="s">
        <v>423</v>
      </c>
      <c r="G107" s="319">
        <v>10.1</v>
      </c>
      <c r="H107" s="317" t="s">
        <v>418</v>
      </c>
      <c r="I107" s="20" t="s">
        <v>383</v>
      </c>
      <c r="J107" s="21" t="s">
        <v>121</v>
      </c>
      <c r="K107" s="12" t="s">
        <v>173</v>
      </c>
      <c r="L107" s="319" t="str">
        <f t="shared" si="24"/>
        <v/>
      </c>
      <c r="M107" s="22"/>
      <c r="N107" s="79" t="str">
        <f>IF(K107="NV","",IF(VLOOKUP(M107,'R_Häufigkeit_Faktoren UHR'!$B$4:$I$24,7,FALSE)=0,"",VLOOKUP(M107,'R_Häufigkeit_Faktoren UHR'!$B$4:$I$24,7,FALSE)))</f>
        <v/>
      </c>
      <c r="O107" s="3" t="str">
        <f t="shared" si="25"/>
        <v/>
      </c>
      <c r="P107" s="325"/>
      <c r="Q107" s="156" t="str">
        <f>IF(N107="","",VLOOKUP(J107,Raumgruppen_Leistungswerte!$B$5:$F$35,5,FALSE))</f>
        <v/>
      </c>
      <c r="R107" s="157" t="str">
        <f t="shared" si="26"/>
        <v/>
      </c>
      <c r="S107" s="445" t="str">
        <f t="shared" si="27"/>
        <v/>
      </c>
      <c r="T107" s="78" t="str">
        <f>IF(K107="NV","",IF(VLOOKUP(M107,'R_Häufigkeit_Faktoren UHR'!$B$4:$I$24,8,FALSE)=0,"",VLOOKUP(M107,'R_Häufigkeit_Faktoren UHR'!$B$4:$I$24,8,FALSE)))</f>
        <v/>
      </c>
      <c r="U107" s="156" t="str">
        <f t="shared" si="28"/>
        <v/>
      </c>
      <c r="V107" s="427"/>
      <c r="W107" s="12" t="str">
        <f>IF(T107="","",VLOOKUP(J107,Raumgruppen_Leistungswerte!$B$5:$F$35,5,FALSE))</f>
        <v/>
      </c>
      <c r="X107" s="156" t="str">
        <f t="shared" si="29"/>
        <v/>
      </c>
      <c r="Y107" s="446" t="str">
        <f t="shared" si="30"/>
        <v/>
      </c>
      <c r="Z107" s="158" t="str">
        <f t="shared" si="31"/>
        <v/>
      </c>
      <c r="AA107" s="23" t="str">
        <f t="shared" si="32"/>
        <v/>
      </c>
      <c r="AB107" s="445" t="str">
        <f t="shared" si="33"/>
        <v/>
      </c>
      <c r="AC107" s="123"/>
    </row>
    <row r="108" spans="1:29" ht="12" customHeight="1">
      <c r="A108" s="11">
        <v>104</v>
      </c>
      <c r="B108" s="12" t="s">
        <v>367</v>
      </c>
      <c r="C108" s="17">
        <v>1</v>
      </c>
      <c r="D108" s="19" t="s">
        <v>399</v>
      </c>
      <c r="E108" s="17">
        <v>1</v>
      </c>
      <c r="F108" s="316" t="s">
        <v>424</v>
      </c>
      <c r="G108" s="319">
        <v>5.8</v>
      </c>
      <c r="H108" s="317" t="s">
        <v>425</v>
      </c>
      <c r="I108" s="20" t="s">
        <v>406</v>
      </c>
      <c r="J108" s="21" t="s">
        <v>1</v>
      </c>
      <c r="K108" s="12" t="s">
        <v>14</v>
      </c>
      <c r="L108" s="319">
        <f t="shared" si="24"/>
        <v>5.8</v>
      </c>
      <c r="M108" s="22">
        <v>5</v>
      </c>
      <c r="N108" s="79">
        <f>IF(K108="NV","",IF(VLOOKUP(M108,'R_Häufigkeit_Faktoren UHR'!$B$4:$I$24,7,FALSE)=0,"",VLOOKUP(M108,'R_Häufigkeit_Faktoren UHR'!$B$4:$I$24,7,FALSE)))</f>
        <v>20.917857142857144</v>
      </c>
      <c r="O108" s="3">
        <f t="shared" si="25"/>
        <v>121.32357142857144</v>
      </c>
      <c r="P108" s="325"/>
      <c r="Q108" s="156">
        <f>IF(N108="","",VLOOKUP(J108,Raumgruppen_Leistungswerte!$B$5:$F$35,5,FALSE))</f>
        <v>0</v>
      </c>
      <c r="R108" s="157" t="e">
        <f t="shared" si="26"/>
        <v>#DIV/0!</v>
      </c>
      <c r="S108" s="445" t="e">
        <f t="shared" si="27"/>
        <v>#DIV/0!</v>
      </c>
      <c r="T108" s="78" t="str">
        <f>IF(K108="NV","",IF(VLOOKUP(M108,'R_Häufigkeit_Faktoren UHR'!$B$4:$I$24,8,FALSE)=0,"",VLOOKUP(M108,'R_Häufigkeit_Faktoren UHR'!$B$4:$I$24,8,FALSE)))</f>
        <v/>
      </c>
      <c r="U108" s="156" t="str">
        <f t="shared" si="28"/>
        <v/>
      </c>
      <c r="V108" s="427"/>
      <c r="W108" s="12" t="str">
        <f>IF(T108="","",VLOOKUP(J108,Raumgruppen_Leistungswerte!$B$5:$F$35,5,FALSE))</f>
        <v/>
      </c>
      <c r="X108" s="156" t="str">
        <f t="shared" si="29"/>
        <v/>
      </c>
      <c r="Y108" s="446" t="str">
        <f t="shared" si="30"/>
        <v/>
      </c>
      <c r="Z108" s="158">
        <f t="shared" si="31"/>
        <v>121.32357142857144</v>
      </c>
      <c r="AA108" s="23" t="e">
        <f t="shared" si="32"/>
        <v>#DIV/0!</v>
      </c>
      <c r="AB108" s="445" t="e">
        <f t="shared" si="33"/>
        <v>#DIV/0!</v>
      </c>
      <c r="AC108" s="123"/>
    </row>
    <row r="109" spans="1:29" ht="12" customHeight="1">
      <c r="A109" s="11">
        <v>105</v>
      </c>
      <c r="B109" s="12" t="s">
        <v>367</v>
      </c>
      <c r="C109" s="17">
        <v>1</v>
      </c>
      <c r="D109" s="19" t="s">
        <v>399</v>
      </c>
      <c r="E109" s="17">
        <v>1</v>
      </c>
      <c r="F109" s="316" t="s">
        <v>384</v>
      </c>
      <c r="G109" s="319">
        <v>10.3</v>
      </c>
      <c r="H109" s="317" t="s">
        <v>385</v>
      </c>
      <c r="I109" s="20" t="s">
        <v>406</v>
      </c>
      <c r="J109" s="21" t="s">
        <v>1</v>
      </c>
      <c r="K109" s="12" t="s">
        <v>14</v>
      </c>
      <c r="L109" s="319">
        <f t="shared" si="24"/>
        <v>10.3</v>
      </c>
      <c r="M109" s="22">
        <v>5</v>
      </c>
      <c r="N109" s="79">
        <f>IF(K109="NV","",IF(VLOOKUP(M109,'R_Häufigkeit_Faktoren UHR'!$B$4:$I$24,7,FALSE)=0,"",VLOOKUP(M109,'R_Häufigkeit_Faktoren UHR'!$B$4:$I$24,7,FALSE)))</f>
        <v>20.917857142857144</v>
      </c>
      <c r="O109" s="3">
        <f t="shared" si="25"/>
        <v>215.45392857142861</v>
      </c>
      <c r="P109" s="325"/>
      <c r="Q109" s="156">
        <f>IF(N109="","",VLOOKUP(J109,Raumgruppen_Leistungswerte!$B$5:$F$35,5,FALSE))</f>
        <v>0</v>
      </c>
      <c r="R109" s="157" t="e">
        <f t="shared" si="26"/>
        <v>#DIV/0!</v>
      </c>
      <c r="S109" s="445" t="e">
        <f t="shared" si="27"/>
        <v>#DIV/0!</v>
      </c>
      <c r="T109" s="78" t="str">
        <f>IF(K109="NV","",IF(VLOOKUP(M109,'R_Häufigkeit_Faktoren UHR'!$B$4:$I$24,8,FALSE)=0,"",VLOOKUP(M109,'R_Häufigkeit_Faktoren UHR'!$B$4:$I$24,8,FALSE)))</f>
        <v/>
      </c>
      <c r="U109" s="156" t="str">
        <f t="shared" si="28"/>
        <v/>
      </c>
      <c r="V109" s="427"/>
      <c r="W109" s="12" t="str">
        <f>IF(T109="","",VLOOKUP(J109,Raumgruppen_Leistungswerte!$B$5:$F$35,5,FALSE))</f>
        <v/>
      </c>
      <c r="X109" s="156" t="str">
        <f t="shared" si="29"/>
        <v/>
      </c>
      <c r="Y109" s="446" t="str">
        <f t="shared" si="30"/>
        <v/>
      </c>
      <c r="Z109" s="158">
        <f t="shared" si="31"/>
        <v>215.45392857142861</v>
      </c>
      <c r="AA109" s="23" t="e">
        <f t="shared" si="32"/>
        <v>#DIV/0!</v>
      </c>
      <c r="AB109" s="445" t="e">
        <f t="shared" si="33"/>
        <v>#DIV/0!</v>
      </c>
      <c r="AC109" s="123"/>
    </row>
    <row r="110" spans="1:29" ht="12" customHeight="1">
      <c r="A110" s="11">
        <v>106</v>
      </c>
      <c r="B110" s="12" t="s">
        <v>367</v>
      </c>
      <c r="C110" s="17">
        <v>1</v>
      </c>
      <c r="D110" s="19" t="s">
        <v>399</v>
      </c>
      <c r="E110" s="17">
        <v>1</v>
      </c>
      <c r="F110" s="316" t="s">
        <v>386</v>
      </c>
      <c r="G110" s="319">
        <v>10.199999999999999</v>
      </c>
      <c r="H110" s="317" t="s">
        <v>387</v>
      </c>
      <c r="I110" s="14" t="s">
        <v>406</v>
      </c>
      <c r="J110" s="21" t="s">
        <v>1</v>
      </c>
      <c r="K110" s="12" t="s">
        <v>14</v>
      </c>
      <c r="L110" s="319">
        <f t="shared" si="24"/>
        <v>10.199999999999999</v>
      </c>
      <c r="M110" s="22">
        <v>5</v>
      </c>
      <c r="N110" s="79">
        <f>IF(K110="NV","",IF(VLOOKUP(M110,'R_Häufigkeit_Faktoren UHR'!$B$4:$I$24,7,FALSE)=0,"",VLOOKUP(M110,'R_Häufigkeit_Faktoren UHR'!$B$4:$I$24,7,FALSE)))</f>
        <v>20.917857142857144</v>
      </c>
      <c r="O110" s="3">
        <f t="shared" si="25"/>
        <v>213.36214285714286</v>
      </c>
      <c r="P110" s="325"/>
      <c r="Q110" s="156">
        <f>IF(N110="","",VLOOKUP(J110,Raumgruppen_Leistungswerte!$B$5:$F$35,5,FALSE))</f>
        <v>0</v>
      </c>
      <c r="R110" s="157" t="e">
        <f t="shared" si="26"/>
        <v>#DIV/0!</v>
      </c>
      <c r="S110" s="445" t="e">
        <f t="shared" si="27"/>
        <v>#DIV/0!</v>
      </c>
      <c r="T110" s="78" t="str">
        <f>IF(K110="NV","",IF(VLOOKUP(M110,'R_Häufigkeit_Faktoren UHR'!$B$4:$I$24,8,FALSE)=0,"",VLOOKUP(M110,'R_Häufigkeit_Faktoren UHR'!$B$4:$I$24,8,FALSE)))</f>
        <v/>
      </c>
      <c r="U110" s="156" t="str">
        <f t="shared" si="28"/>
        <v/>
      </c>
      <c r="V110" s="427"/>
      <c r="W110" s="12" t="str">
        <f>IF(T110="","",VLOOKUP(J110,Raumgruppen_Leistungswerte!$B$5:$F$35,5,FALSE))</f>
        <v/>
      </c>
      <c r="X110" s="156" t="str">
        <f t="shared" si="29"/>
        <v/>
      </c>
      <c r="Y110" s="446" t="str">
        <f t="shared" si="30"/>
        <v/>
      </c>
      <c r="Z110" s="158">
        <f t="shared" si="31"/>
        <v>213.36214285714286</v>
      </c>
      <c r="AA110" s="23" t="e">
        <f t="shared" si="32"/>
        <v>#DIV/0!</v>
      </c>
      <c r="AB110" s="445" t="e">
        <f t="shared" si="33"/>
        <v>#DIV/0!</v>
      </c>
      <c r="AC110" s="123"/>
    </row>
    <row r="111" spans="1:29" ht="12" customHeight="1">
      <c r="A111" s="11">
        <v>107</v>
      </c>
      <c r="B111" s="12" t="s">
        <v>367</v>
      </c>
      <c r="C111" s="17">
        <v>1</v>
      </c>
      <c r="D111" s="19" t="s">
        <v>399</v>
      </c>
      <c r="E111" s="17">
        <v>1</v>
      </c>
      <c r="F111" s="316" t="s">
        <v>426</v>
      </c>
      <c r="G111" s="319">
        <v>23.7</v>
      </c>
      <c r="H111" s="317" t="s">
        <v>13</v>
      </c>
      <c r="I111" s="14" t="s">
        <v>371</v>
      </c>
      <c r="J111" s="21" t="s">
        <v>238</v>
      </c>
      <c r="K111" s="12" t="s">
        <v>14</v>
      </c>
      <c r="L111" s="319">
        <f t="shared" si="24"/>
        <v>23.7</v>
      </c>
      <c r="M111" s="22">
        <v>5</v>
      </c>
      <c r="N111" s="79">
        <f>IF(K111="NV","",IF(VLOOKUP(M111,'R_Häufigkeit_Faktoren UHR'!$B$4:$I$24,7,FALSE)=0,"",VLOOKUP(M111,'R_Häufigkeit_Faktoren UHR'!$B$4:$I$24,7,FALSE)))</f>
        <v>20.917857142857144</v>
      </c>
      <c r="O111" s="3">
        <f t="shared" si="25"/>
        <v>495.75321428571431</v>
      </c>
      <c r="P111" s="325"/>
      <c r="Q111" s="156">
        <f>IF(N111="","",VLOOKUP(J111,Raumgruppen_Leistungswerte!$B$5:$F$35,5,FALSE))</f>
        <v>0</v>
      </c>
      <c r="R111" s="157" t="e">
        <f t="shared" si="26"/>
        <v>#DIV/0!</v>
      </c>
      <c r="S111" s="445" t="e">
        <f t="shared" si="27"/>
        <v>#DIV/0!</v>
      </c>
      <c r="T111" s="78" t="str">
        <f>IF(K111="NV","",IF(VLOOKUP(M111,'R_Häufigkeit_Faktoren UHR'!$B$4:$I$24,8,FALSE)=0,"",VLOOKUP(M111,'R_Häufigkeit_Faktoren UHR'!$B$4:$I$24,8,FALSE)))</f>
        <v/>
      </c>
      <c r="U111" s="156" t="str">
        <f t="shared" si="28"/>
        <v/>
      </c>
      <c r="V111" s="427"/>
      <c r="W111" s="12" t="str">
        <f>IF(T111="","",VLOOKUP(J111,Raumgruppen_Leistungswerte!$B$5:$F$35,5,FALSE))</f>
        <v/>
      </c>
      <c r="X111" s="156" t="str">
        <f t="shared" si="29"/>
        <v/>
      </c>
      <c r="Y111" s="446" t="str">
        <f t="shared" si="30"/>
        <v/>
      </c>
      <c r="Z111" s="158">
        <f t="shared" si="31"/>
        <v>495.75321428571431</v>
      </c>
      <c r="AA111" s="23" t="e">
        <f t="shared" si="32"/>
        <v>#DIV/0!</v>
      </c>
      <c r="AB111" s="445" t="e">
        <f t="shared" si="33"/>
        <v>#DIV/0!</v>
      </c>
      <c r="AC111" s="123"/>
    </row>
    <row r="112" spans="1:29" ht="12" customHeight="1">
      <c r="A112" s="11">
        <v>108</v>
      </c>
      <c r="B112" s="12" t="s">
        <v>367</v>
      </c>
      <c r="C112" s="17">
        <v>1</v>
      </c>
      <c r="D112" s="19" t="s">
        <v>399</v>
      </c>
      <c r="E112" s="17">
        <v>1</v>
      </c>
      <c r="F112" s="316" t="s">
        <v>427</v>
      </c>
      <c r="G112" s="319">
        <v>34.799999999999997</v>
      </c>
      <c r="H112" s="317" t="s">
        <v>13</v>
      </c>
      <c r="I112" s="14" t="s">
        <v>335</v>
      </c>
      <c r="J112" s="21" t="s">
        <v>242</v>
      </c>
      <c r="K112" s="12" t="s">
        <v>14</v>
      </c>
      <c r="L112" s="319">
        <f t="shared" si="24"/>
        <v>34.799999999999997</v>
      </c>
      <c r="M112" s="22">
        <v>5</v>
      </c>
      <c r="N112" s="79">
        <f>IF(K112="NV","",IF(VLOOKUP(M112,'R_Häufigkeit_Faktoren UHR'!$B$4:$I$24,7,FALSE)=0,"",VLOOKUP(M112,'R_Häufigkeit_Faktoren UHR'!$B$4:$I$24,7,FALSE)))</f>
        <v>20.917857142857144</v>
      </c>
      <c r="O112" s="3">
        <f t="shared" si="25"/>
        <v>727.94142857142856</v>
      </c>
      <c r="P112" s="325"/>
      <c r="Q112" s="156">
        <f>IF(N112="","",VLOOKUP(J112,Raumgruppen_Leistungswerte!$B$5:$F$35,5,FALSE))</f>
        <v>0</v>
      </c>
      <c r="R112" s="157" t="e">
        <f t="shared" si="26"/>
        <v>#DIV/0!</v>
      </c>
      <c r="S112" s="445" t="e">
        <f t="shared" si="27"/>
        <v>#DIV/0!</v>
      </c>
      <c r="T112" s="78" t="str">
        <f>IF(K112="NV","",IF(VLOOKUP(M112,'R_Häufigkeit_Faktoren UHR'!$B$4:$I$24,8,FALSE)=0,"",VLOOKUP(M112,'R_Häufigkeit_Faktoren UHR'!$B$4:$I$24,8,FALSE)))</f>
        <v/>
      </c>
      <c r="U112" s="156" t="str">
        <f t="shared" si="28"/>
        <v/>
      </c>
      <c r="V112" s="427"/>
      <c r="W112" s="12" t="str">
        <f>IF(T112="","",VLOOKUP(J112,Raumgruppen_Leistungswerte!$B$5:$F$35,5,FALSE))</f>
        <v/>
      </c>
      <c r="X112" s="156" t="str">
        <f t="shared" si="29"/>
        <v/>
      </c>
      <c r="Y112" s="446" t="str">
        <f t="shared" si="30"/>
        <v/>
      </c>
      <c r="Z112" s="158">
        <f t="shared" si="31"/>
        <v>727.94142857142856</v>
      </c>
      <c r="AA112" s="23" t="e">
        <f t="shared" si="32"/>
        <v>#DIV/0!</v>
      </c>
      <c r="AB112" s="445" t="e">
        <f t="shared" si="33"/>
        <v>#DIV/0!</v>
      </c>
      <c r="AC112" s="123"/>
    </row>
    <row r="113" spans="1:29" ht="12" customHeight="1">
      <c r="A113" s="11">
        <v>109</v>
      </c>
      <c r="B113" s="12" t="s">
        <v>367</v>
      </c>
      <c r="C113" s="17">
        <v>2</v>
      </c>
      <c r="D113" s="19" t="s">
        <v>367</v>
      </c>
      <c r="E113" s="17">
        <v>1</v>
      </c>
      <c r="F113" s="316" t="s">
        <v>370</v>
      </c>
      <c r="G113" s="319">
        <v>55.5</v>
      </c>
      <c r="H113" s="317" t="s">
        <v>13</v>
      </c>
      <c r="I113" s="14" t="s">
        <v>371</v>
      </c>
      <c r="J113" s="21" t="s">
        <v>238</v>
      </c>
      <c r="K113" s="12" t="s">
        <v>14</v>
      </c>
      <c r="L113" s="319">
        <f t="shared" si="24"/>
        <v>55.5</v>
      </c>
      <c r="M113" s="22">
        <v>6</v>
      </c>
      <c r="N113" s="79">
        <f>IF(K113="NV","",IF(VLOOKUP(M113,'R_Häufigkeit_Faktoren UHR'!$B$4:$I$24,7,FALSE)=0,"",VLOOKUP(M113,'R_Häufigkeit_Faktoren UHR'!$B$4:$I$24,7,FALSE)))</f>
        <v>25.263095238095236</v>
      </c>
      <c r="O113" s="3">
        <f t="shared" si="25"/>
        <v>1402.1017857142856</v>
      </c>
      <c r="P113" s="325"/>
      <c r="Q113" s="156">
        <f>IF(N113="","",VLOOKUP(J113,Raumgruppen_Leistungswerte!$B$5:$F$35,5,FALSE))</f>
        <v>0</v>
      </c>
      <c r="R113" s="157" t="e">
        <f t="shared" si="26"/>
        <v>#DIV/0!</v>
      </c>
      <c r="S113" s="445" t="e">
        <f t="shared" si="27"/>
        <v>#DIV/0!</v>
      </c>
      <c r="T113" s="78" t="str">
        <f>IF(K113="NV","",IF(VLOOKUP(M113,'R_Häufigkeit_Faktoren UHR'!$B$4:$I$24,8,FALSE)=0,"",VLOOKUP(M113,'R_Häufigkeit_Faktoren UHR'!$B$4:$I$24,8,FALSE)))</f>
        <v/>
      </c>
      <c r="U113" s="156" t="str">
        <f t="shared" si="28"/>
        <v/>
      </c>
      <c r="V113" s="427"/>
      <c r="W113" s="12" t="str">
        <f>IF(T113="","",VLOOKUP(J113,Raumgruppen_Leistungswerte!$B$5:$F$35,5,FALSE))</f>
        <v/>
      </c>
      <c r="X113" s="156" t="str">
        <f t="shared" si="29"/>
        <v/>
      </c>
      <c r="Y113" s="446" t="str">
        <f t="shared" si="30"/>
        <v/>
      </c>
      <c r="Z113" s="158">
        <f t="shared" si="31"/>
        <v>1402.1017857142856</v>
      </c>
      <c r="AA113" s="23" t="e">
        <f t="shared" si="32"/>
        <v>#DIV/0!</v>
      </c>
      <c r="AB113" s="445" t="e">
        <f t="shared" si="33"/>
        <v>#DIV/0!</v>
      </c>
      <c r="AC113" s="123"/>
    </row>
    <row r="114" spans="1:29" ht="12" customHeight="1">
      <c r="A114" s="11">
        <v>110</v>
      </c>
      <c r="B114" s="12" t="s">
        <v>367</v>
      </c>
      <c r="C114" s="17">
        <v>2</v>
      </c>
      <c r="D114" s="19" t="s">
        <v>367</v>
      </c>
      <c r="E114" s="17">
        <v>1</v>
      </c>
      <c r="F114" s="316" t="s">
        <v>404</v>
      </c>
      <c r="G114" s="319">
        <v>3.6</v>
      </c>
      <c r="H114" s="317" t="s">
        <v>405</v>
      </c>
      <c r="I114" s="20" t="s">
        <v>282</v>
      </c>
      <c r="J114" s="21" t="s">
        <v>1</v>
      </c>
      <c r="K114" s="12" t="s">
        <v>14</v>
      </c>
      <c r="L114" s="319">
        <f t="shared" si="24"/>
        <v>3.6</v>
      </c>
      <c r="M114" s="22">
        <v>6</v>
      </c>
      <c r="N114" s="79">
        <f>IF(K114="NV","",IF(VLOOKUP(M114,'R_Häufigkeit_Faktoren UHR'!$B$4:$I$24,7,FALSE)=0,"",VLOOKUP(M114,'R_Häufigkeit_Faktoren UHR'!$B$4:$I$24,7,FALSE)))</f>
        <v>25.263095238095236</v>
      </c>
      <c r="O114" s="3">
        <f t="shared" si="25"/>
        <v>90.94714285714285</v>
      </c>
      <c r="P114" s="325"/>
      <c r="Q114" s="156">
        <f>IF(N114="","",VLOOKUP(J114,Raumgruppen_Leistungswerte!$B$5:$F$35,5,FALSE))</f>
        <v>0</v>
      </c>
      <c r="R114" s="157" t="e">
        <f t="shared" si="26"/>
        <v>#DIV/0!</v>
      </c>
      <c r="S114" s="445" t="e">
        <f t="shared" si="27"/>
        <v>#DIV/0!</v>
      </c>
      <c r="T114" s="78" t="str">
        <f>IF(K114="NV","",IF(VLOOKUP(M114,'R_Häufigkeit_Faktoren UHR'!$B$4:$I$24,8,FALSE)=0,"",VLOOKUP(M114,'R_Häufigkeit_Faktoren UHR'!$B$4:$I$24,8,FALSE)))</f>
        <v/>
      </c>
      <c r="U114" s="156" t="str">
        <f t="shared" si="28"/>
        <v/>
      </c>
      <c r="V114" s="427"/>
      <c r="W114" s="12" t="str">
        <f>IF(T114="","",VLOOKUP(J114,Raumgruppen_Leistungswerte!$B$5:$F$35,5,FALSE))</f>
        <v/>
      </c>
      <c r="X114" s="156" t="str">
        <f t="shared" si="29"/>
        <v/>
      </c>
      <c r="Y114" s="446" t="str">
        <f t="shared" si="30"/>
        <v/>
      </c>
      <c r="Z114" s="158">
        <f t="shared" si="31"/>
        <v>90.94714285714285</v>
      </c>
      <c r="AA114" s="23" t="e">
        <f t="shared" si="32"/>
        <v>#DIV/0!</v>
      </c>
      <c r="AB114" s="445" t="e">
        <f t="shared" si="33"/>
        <v>#DIV/0!</v>
      </c>
      <c r="AC114" s="123"/>
    </row>
    <row r="115" spans="1:29" ht="12" customHeight="1">
      <c r="A115" s="11">
        <v>111</v>
      </c>
      <c r="B115" s="12" t="s">
        <v>367</v>
      </c>
      <c r="C115" s="17">
        <v>2</v>
      </c>
      <c r="D115" s="19" t="s">
        <v>367</v>
      </c>
      <c r="E115" s="17">
        <v>1</v>
      </c>
      <c r="F115" s="316" t="s">
        <v>407</v>
      </c>
      <c r="G115" s="319">
        <v>1.9</v>
      </c>
      <c r="H115" s="317" t="s">
        <v>428</v>
      </c>
      <c r="I115" s="20" t="s">
        <v>282</v>
      </c>
      <c r="J115" s="21" t="s">
        <v>251</v>
      </c>
      <c r="K115" s="12" t="s">
        <v>14</v>
      </c>
      <c r="L115" s="319">
        <f t="shared" si="24"/>
        <v>1.9</v>
      </c>
      <c r="M115" s="22">
        <v>1</v>
      </c>
      <c r="N115" s="79">
        <f>IF(K115="NV","",IF(VLOOKUP(M115,'R_Häufigkeit_Faktoren UHR'!$B$4:$I$24,7,FALSE)=0,"",VLOOKUP(M115,'R_Häufigkeit_Faktoren UHR'!$B$4:$I$24,7,FALSE)))</f>
        <v>4.3452380952380958</v>
      </c>
      <c r="O115" s="3">
        <f t="shared" si="25"/>
        <v>8.2559523809523814</v>
      </c>
      <c r="P115" s="325"/>
      <c r="Q115" s="156">
        <f>IF(N115="","",VLOOKUP(J115,Raumgruppen_Leistungswerte!$B$5:$F$35,5,FALSE))</f>
        <v>0</v>
      </c>
      <c r="R115" s="157" t="e">
        <f t="shared" si="26"/>
        <v>#DIV/0!</v>
      </c>
      <c r="S115" s="445" t="e">
        <f t="shared" si="27"/>
        <v>#DIV/0!</v>
      </c>
      <c r="T115" s="78" t="str">
        <f>IF(K115="NV","",IF(VLOOKUP(M115,'R_Häufigkeit_Faktoren UHR'!$B$4:$I$24,8,FALSE)=0,"",VLOOKUP(M115,'R_Häufigkeit_Faktoren UHR'!$B$4:$I$24,8,FALSE)))</f>
        <v/>
      </c>
      <c r="U115" s="156" t="str">
        <f t="shared" si="28"/>
        <v/>
      </c>
      <c r="V115" s="427"/>
      <c r="W115" s="12" t="str">
        <f>IF(T115="","",VLOOKUP(J115,Raumgruppen_Leistungswerte!$B$5:$F$35,5,FALSE))</f>
        <v/>
      </c>
      <c r="X115" s="156" t="str">
        <f t="shared" si="29"/>
        <v/>
      </c>
      <c r="Y115" s="446" t="str">
        <f t="shared" si="30"/>
        <v/>
      </c>
      <c r="Z115" s="158">
        <f t="shared" si="31"/>
        <v>8.2559523809523814</v>
      </c>
      <c r="AA115" s="23" t="e">
        <f t="shared" si="32"/>
        <v>#DIV/0!</v>
      </c>
      <c r="AB115" s="445" t="e">
        <f t="shared" si="33"/>
        <v>#DIV/0!</v>
      </c>
      <c r="AC115" s="123"/>
    </row>
    <row r="116" spans="1:29" ht="12" customHeight="1">
      <c r="A116" s="11">
        <v>112</v>
      </c>
      <c r="B116" s="12" t="s">
        <v>367</v>
      </c>
      <c r="C116" s="17">
        <v>2</v>
      </c>
      <c r="D116" s="19" t="s">
        <v>272</v>
      </c>
      <c r="E116" s="17">
        <v>1</v>
      </c>
      <c r="F116" s="316" t="s">
        <v>333</v>
      </c>
      <c r="G116" s="319">
        <v>21.5</v>
      </c>
      <c r="H116" s="317" t="s">
        <v>365</v>
      </c>
      <c r="I116" s="20" t="s">
        <v>335</v>
      </c>
      <c r="J116" s="21" t="s">
        <v>240</v>
      </c>
      <c r="K116" s="12" t="s">
        <v>14</v>
      </c>
      <c r="L116" s="319">
        <f t="shared" si="24"/>
        <v>21.5</v>
      </c>
      <c r="M116" s="22">
        <v>3</v>
      </c>
      <c r="N116" s="79">
        <f>IF(K116="NV","",IF(VLOOKUP(M116,'R_Häufigkeit_Faktoren UHR'!$B$4:$I$24,7,FALSE)=0,"",VLOOKUP(M116,'R_Häufigkeit_Faktoren UHR'!$B$4:$I$24,7,FALSE)))</f>
        <v>13.035714285714286</v>
      </c>
      <c r="O116" s="3">
        <f t="shared" si="25"/>
        <v>280.26785714285717</v>
      </c>
      <c r="P116" s="325"/>
      <c r="Q116" s="156">
        <f>IF(N116="","",VLOOKUP(J116,Raumgruppen_Leistungswerte!$B$5:$F$35,5,FALSE))</f>
        <v>0</v>
      </c>
      <c r="R116" s="157" t="e">
        <f t="shared" si="26"/>
        <v>#DIV/0!</v>
      </c>
      <c r="S116" s="445" t="e">
        <f t="shared" si="27"/>
        <v>#DIV/0!</v>
      </c>
      <c r="T116" s="78" t="str">
        <f>IF(K116="NV","",IF(VLOOKUP(M116,'R_Häufigkeit_Faktoren UHR'!$B$4:$I$24,8,FALSE)=0,"",VLOOKUP(M116,'R_Häufigkeit_Faktoren UHR'!$B$4:$I$24,8,FALSE)))</f>
        <v/>
      </c>
      <c r="U116" s="156" t="str">
        <f t="shared" si="28"/>
        <v/>
      </c>
      <c r="V116" s="427"/>
      <c r="W116" s="12" t="str">
        <f>IF(T116="","",VLOOKUP(J116,Raumgruppen_Leistungswerte!$B$5:$F$35,5,FALSE))</f>
        <v/>
      </c>
      <c r="X116" s="156" t="str">
        <f t="shared" si="29"/>
        <v/>
      </c>
      <c r="Y116" s="446" t="str">
        <f t="shared" si="30"/>
        <v/>
      </c>
      <c r="Z116" s="158">
        <f t="shared" si="31"/>
        <v>280.26785714285717</v>
      </c>
      <c r="AA116" s="23" t="e">
        <f t="shared" si="32"/>
        <v>#DIV/0!</v>
      </c>
      <c r="AB116" s="445" t="e">
        <f t="shared" si="33"/>
        <v>#DIV/0!</v>
      </c>
      <c r="AC116" s="123"/>
    </row>
    <row r="117" spans="1:29" ht="12" customHeight="1">
      <c r="A117" s="11">
        <v>113</v>
      </c>
      <c r="B117" s="12" t="s">
        <v>367</v>
      </c>
      <c r="C117" s="17">
        <v>2</v>
      </c>
      <c r="D117" s="19" t="s">
        <v>287</v>
      </c>
      <c r="E117" s="17">
        <v>1</v>
      </c>
      <c r="F117" s="316" t="s">
        <v>336</v>
      </c>
      <c r="G117" s="319">
        <v>6.1</v>
      </c>
      <c r="H117" s="317" t="s">
        <v>337</v>
      </c>
      <c r="I117" s="20" t="s">
        <v>335</v>
      </c>
      <c r="J117" s="15" t="s">
        <v>242</v>
      </c>
      <c r="K117" s="12" t="s">
        <v>14</v>
      </c>
      <c r="L117" s="319">
        <f t="shared" si="24"/>
        <v>6.1</v>
      </c>
      <c r="M117" s="22">
        <v>5</v>
      </c>
      <c r="N117" s="79">
        <f>IF(K117="NV","",IF(VLOOKUP(M117,'R_Häufigkeit_Faktoren UHR'!$B$4:$I$24,7,FALSE)=0,"",VLOOKUP(M117,'R_Häufigkeit_Faktoren UHR'!$B$4:$I$24,7,FALSE)))</f>
        <v>20.917857142857144</v>
      </c>
      <c r="O117" s="3">
        <f t="shared" si="25"/>
        <v>127.59892857142857</v>
      </c>
      <c r="P117" s="325"/>
      <c r="Q117" s="156">
        <f>IF(N117="","",VLOOKUP(J117,Raumgruppen_Leistungswerte!$B$5:$F$35,5,FALSE))</f>
        <v>0</v>
      </c>
      <c r="R117" s="157" t="e">
        <f t="shared" si="26"/>
        <v>#DIV/0!</v>
      </c>
      <c r="S117" s="445" t="e">
        <f t="shared" si="27"/>
        <v>#DIV/0!</v>
      </c>
      <c r="T117" s="78" t="str">
        <f>IF(K117="NV","",IF(VLOOKUP(M117,'R_Häufigkeit_Faktoren UHR'!$B$4:$I$24,8,FALSE)=0,"",VLOOKUP(M117,'R_Häufigkeit_Faktoren UHR'!$B$4:$I$24,8,FALSE)))</f>
        <v/>
      </c>
      <c r="U117" s="156" t="str">
        <f t="shared" si="28"/>
        <v/>
      </c>
      <c r="V117" s="427"/>
      <c r="W117" s="12" t="str">
        <f>IF(T117="","",VLOOKUP(J117,Raumgruppen_Leistungswerte!$B$5:$F$35,5,FALSE))</f>
        <v/>
      </c>
      <c r="X117" s="156" t="str">
        <f t="shared" si="29"/>
        <v/>
      </c>
      <c r="Y117" s="446" t="str">
        <f t="shared" si="30"/>
        <v/>
      </c>
      <c r="Z117" s="158">
        <f t="shared" si="31"/>
        <v>127.59892857142857</v>
      </c>
      <c r="AA117" s="23" t="e">
        <f t="shared" si="32"/>
        <v>#DIV/0!</v>
      </c>
      <c r="AB117" s="445" t="e">
        <f t="shared" si="33"/>
        <v>#DIV/0!</v>
      </c>
      <c r="AC117" s="123"/>
    </row>
    <row r="118" spans="1:29" ht="12" customHeight="1">
      <c r="A118" s="11">
        <v>114</v>
      </c>
      <c r="B118" s="12" t="s">
        <v>367</v>
      </c>
      <c r="C118" s="17">
        <v>2</v>
      </c>
      <c r="D118" s="19" t="s">
        <v>272</v>
      </c>
      <c r="E118" s="17">
        <v>1</v>
      </c>
      <c r="F118" s="316" t="s">
        <v>338</v>
      </c>
      <c r="G118" s="319">
        <v>17.3</v>
      </c>
      <c r="H118" s="317" t="s">
        <v>389</v>
      </c>
      <c r="I118" s="20" t="s">
        <v>335</v>
      </c>
      <c r="J118" s="21" t="s">
        <v>238</v>
      </c>
      <c r="K118" s="12" t="s">
        <v>14</v>
      </c>
      <c r="L118" s="319">
        <f t="shared" si="24"/>
        <v>17.3</v>
      </c>
      <c r="M118" s="22">
        <v>5</v>
      </c>
      <c r="N118" s="79">
        <f>IF(K118="NV","",IF(VLOOKUP(M118,'R_Häufigkeit_Faktoren UHR'!$B$4:$I$24,7,FALSE)=0,"",VLOOKUP(M118,'R_Häufigkeit_Faktoren UHR'!$B$4:$I$24,7,FALSE)))</f>
        <v>20.917857142857144</v>
      </c>
      <c r="O118" s="3">
        <f t="shared" si="25"/>
        <v>361.87892857142862</v>
      </c>
      <c r="P118" s="325"/>
      <c r="Q118" s="156">
        <f>IF(N118="","",VLOOKUP(J118,Raumgruppen_Leistungswerte!$B$5:$F$35,5,FALSE))</f>
        <v>0</v>
      </c>
      <c r="R118" s="157" t="e">
        <f t="shared" si="26"/>
        <v>#DIV/0!</v>
      </c>
      <c r="S118" s="445" t="e">
        <f t="shared" si="27"/>
        <v>#DIV/0!</v>
      </c>
      <c r="T118" s="78" t="str">
        <f>IF(K118="NV","",IF(VLOOKUP(M118,'R_Häufigkeit_Faktoren UHR'!$B$4:$I$24,8,FALSE)=0,"",VLOOKUP(M118,'R_Häufigkeit_Faktoren UHR'!$B$4:$I$24,8,FALSE)))</f>
        <v/>
      </c>
      <c r="U118" s="156" t="str">
        <f t="shared" si="28"/>
        <v/>
      </c>
      <c r="V118" s="427"/>
      <c r="W118" s="12" t="str">
        <f>IF(T118="","",VLOOKUP(J118,Raumgruppen_Leistungswerte!$B$5:$F$35,5,FALSE))</f>
        <v/>
      </c>
      <c r="X118" s="156" t="str">
        <f t="shared" si="29"/>
        <v/>
      </c>
      <c r="Y118" s="446" t="str">
        <f t="shared" si="30"/>
        <v/>
      </c>
      <c r="Z118" s="158">
        <f t="shared" si="31"/>
        <v>361.87892857142862</v>
      </c>
      <c r="AA118" s="23" t="e">
        <f t="shared" si="32"/>
        <v>#DIV/0!</v>
      </c>
      <c r="AB118" s="445" t="e">
        <f t="shared" si="33"/>
        <v>#DIV/0!</v>
      </c>
      <c r="AC118" s="123"/>
    </row>
    <row r="119" spans="1:29" ht="12" customHeight="1">
      <c r="A119" s="11">
        <v>115</v>
      </c>
      <c r="B119" s="12" t="s">
        <v>367</v>
      </c>
      <c r="C119" s="17">
        <v>2</v>
      </c>
      <c r="D119" s="19" t="s">
        <v>367</v>
      </c>
      <c r="E119" s="17">
        <v>1</v>
      </c>
      <c r="F119" s="316" t="s">
        <v>429</v>
      </c>
      <c r="G119" s="319">
        <v>12.8</v>
      </c>
      <c r="H119" s="317" t="s">
        <v>430</v>
      </c>
      <c r="I119" s="20" t="s">
        <v>371</v>
      </c>
      <c r="J119" s="21" t="s">
        <v>176</v>
      </c>
      <c r="K119" s="12" t="s">
        <v>14</v>
      </c>
      <c r="L119" s="319">
        <f t="shared" si="24"/>
        <v>12.8</v>
      </c>
      <c r="M119" s="22">
        <v>3</v>
      </c>
      <c r="N119" s="79">
        <f>IF(K119="NV","",IF(VLOOKUP(M119,'R_Häufigkeit_Faktoren UHR'!$B$4:$I$24,7,FALSE)=0,"",VLOOKUP(M119,'R_Häufigkeit_Faktoren UHR'!$B$4:$I$24,7,FALSE)))</f>
        <v>13.035714285714286</v>
      </c>
      <c r="O119" s="3">
        <f t="shared" si="25"/>
        <v>166.85714285714289</v>
      </c>
      <c r="P119" s="325"/>
      <c r="Q119" s="156">
        <f>IF(N119="","",VLOOKUP(J119,Raumgruppen_Leistungswerte!$B$5:$F$35,5,FALSE))</f>
        <v>0</v>
      </c>
      <c r="R119" s="157" t="e">
        <f t="shared" si="26"/>
        <v>#DIV/0!</v>
      </c>
      <c r="S119" s="445" t="e">
        <f t="shared" si="27"/>
        <v>#DIV/0!</v>
      </c>
      <c r="T119" s="78" t="str">
        <f>IF(K119="NV","",IF(VLOOKUP(M119,'R_Häufigkeit_Faktoren UHR'!$B$4:$I$24,8,FALSE)=0,"",VLOOKUP(M119,'R_Häufigkeit_Faktoren UHR'!$B$4:$I$24,8,FALSE)))</f>
        <v/>
      </c>
      <c r="U119" s="156" t="str">
        <f t="shared" si="28"/>
        <v/>
      </c>
      <c r="V119" s="427"/>
      <c r="W119" s="12" t="str">
        <f>IF(T119="","",VLOOKUP(J119,Raumgruppen_Leistungswerte!$B$5:$F$35,5,FALSE))</f>
        <v/>
      </c>
      <c r="X119" s="156" t="str">
        <f t="shared" si="29"/>
        <v/>
      </c>
      <c r="Y119" s="446" t="str">
        <f t="shared" si="30"/>
        <v/>
      </c>
      <c r="Z119" s="158">
        <f t="shared" si="31"/>
        <v>166.85714285714289</v>
      </c>
      <c r="AA119" s="23" t="e">
        <f t="shared" si="32"/>
        <v>#DIV/0!</v>
      </c>
      <c r="AB119" s="445" t="e">
        <f t="shared" si="33"/>
        <v>#DIV/0!</v>
      </c>
      <c r="AC119" s="123"/>
    </row>
    <row r="120" spans="1:29" ht="12" customHeight="1">
      <c r="A120" s="11">
        <v>116</v>
      </c>
      <c r="B120" s="12" t="s">
        <v>367</v>
      </c>
      <c r="C120" s="17">
        <v>2</v>
      </c>
      <c r="D120" s="19" t="s">
        <v>431</v>
      </c>
      <c r="E120" s="17">
        <v>1</v>
      </c>
      <c r="F120" s="316" t="s">
        <v>432</v>
      </c>
      <c r="G120" s="319">
        <v>34</v>
      </c>
      <c r="H120" s="317" t="s">
        <v>410</v>
      </c>
      <c r="I120" s="20" t="s">
        <v>371</v>
      </c>
      <c r="J120" s="21" t="s">
        <v>176</v>
      </c>
      <c r="K120" s="12" t="s">
        <v>14</v>
      </c>
      <c r="L120" s="319">
        <f t="shared" si="24"/>
        <v>34</v>
      </c>
      <c r="M120" s="22">
        <v>1</v>
      </c>
      <c r="N120" s="79">
        <f>IF(K120="NV","",IF(VLOOKUP(M120,'R_Häufigkeit_Faktoren UHR'!$B$4:$I$24,7,FALSE)=0,"",VLOOKUP(M120,'R_Häufigkeit_Faktoren UHR'!$B$4:$I$24,7,FALSE)))</f>
        <v>4.3452380952380958</v>
      </c>
      <c r="O120" s="3">
        <f t="shared" si="25"/>
        <v>147.73809523809527</v>
      </c>
      <c r="P120" s="325"/>
      <c r="Q120" s="156">
        <f>IF(N120="","",VLOOKUP(J120,Raumgruppen_Leistungswerte!$B$5:$F$35,5,FALSE))</f>
        <v>0</v>
      </c>
      <c r="R120" s="157" t="e">
        <f t="shared" si="26"/>
        <v>#DIV/0!</v>
      </c>
      <c r="S120" s="445" t="e">
        <f t="shared" si="27"/>
        <v>#DIV/0!</v>
      </c>
      <c r="T120" s="78" t="str">
        <f>IF(K120="NV","",IF(VLOOKUP(M120,'R_Häufigkeit_Faktoren UHR'!$B$4:$I$24,8,FALSE)=0,"",VLOOKUP(M120,'R_Häufigkeit_Faktoren UHR'!$B$4:$I$24,8,FALSE)))</f>
        <v/>
      </c>
      <c r="U120" s="156" t="str">
        <f t="shared" si="28"/>
        <v/>
      </c>
      <c r="V120" s="427"/>
      <c r="W120" s="12" t="str">
        <f>IF(T120="","",VLOOKUP(J120,Raumgruppen_Leistungswerte!$B$5:$F$35,5,FALSE))</f>
        <v/>
      </c>
      <c r="X120" s="156" t="str">
        <f t="shared" si="29"/>
        <v/>
      </c>
      <c r="Y120" s="446" t="str">
        <f t="shared" si="30"/>
        <v/>
      </c>
      <c r="Z120" s="158">
        <f t="shared" si="31"/>
        <v>147.73809523809527</v>
      </c>
      <c r="AA120" s="23" t="e">
        <f t="shared" si="32"/>
        <v>#DIV/0!</v>
      </c>
      <c r="AB120" s="445" t="e">
        <f t="shared" si="33"/>
        <v>#DIV/0!</v>
      </c>
      <c r="AC120" s="123"/>
    </row>
    <row r="121" spans="1:29" ht="12" customHeight="1">
      <c r="A121" s="11">
        <v>117</v>
      </c>
      <c r="B121" s="12" t="s">
        <v>367</v>
      </c>
      <c r="C121" s="17">
        <v>2</v>
      </c>
      <c r="D121" s="19" t="s">
        <v>399</v>
      </c>
      <c r="E121" s="17">
        <v>1</v>
      </c>
      <c r="F121" s="316" t="s">
        <v>433</v>
      </c>
      <c r="G121" s="319">
        <v>33.5</v>
      </c>
      <c r="H121" s="317" t="s">
        <v>410</v>
      </c>
      <c r="I121" s="20" t="s">
        <v>371</v>
      </c>
      <c r="J121" s="21" t="s">
        <v>176</v>
      </c>
      <c r="K121" s="12" t="s">
        <v>14</v>
      </c>
      <c r="L121" s="319">
        <f t="shared" si="24"/>
        <v>33.5</v>
      </c>
      <c r="M121" s="22">
        <v>1</v>
      </c>
      <c r="N121" s="79">
        <f>IF(K121="NV","",IF(VLOOKUP(M121,'R_Häufigkeit_Faktoren UHR'!$B$4:$I$24,7,FALSE)=0,"",VLOOKUP(M121,'R_Häufigkeit_Faktoren UHR'!$B$4:$I$24,7,FALSE)))</f>
        <v>4.3452380952380958</v>
      </c>
      <c r="O121" s="3">
        <f t="shared" si="25"/>
        <v>145.5654761904762</v>
      </c>
      <c r="P121" s="325"/>
      <c r="Q121" s="156">
        <f>IF(N121="","",VLOOKUP(J121,Raumgruppen_Leistungswerte!$B$5:$F$35,5,FALSE))</f>
        <v>0</v>
      </c>
      <c r="R121" s="157" t="e">
        <f t="shared" si="26"/>
        <v>#DIV/0!</v>
      </c>
      <c r="S121" s="445" t="e">
        <f t="shared" si="27"/>
        <v>#DIV/0!</v>
      </c>
      <c r="T121" s="78" t="str">
        <f>IF(K121="NV","",IF(VLOOKUP(M121,'R_Häufigkeit_Faktoren UHR'!$B$4:$I$24,8,FALSE)=0,"",VLOOKUP(M121,'R_Häufigkeit_Faktoren UHR'!$B$4:$I$24,8,FALSE)))</f>
        <v/>
      </c>
      <c r="U121" s="156" t="str">
        <f t="shared" si="28"/>
        <v/>
      </c>
      <c r="V121" s="427"/>
      <c r="W121" s="12" t="str">
        <f>IF(T121="","",VLOOKUP(J121,Raumgruppen_Leistungswerte!$B$5:$F$35,5,FALSE))</f>
        <v/>
      </c>
      <c r="X121" s="156" t="str">
        <f t="shared" si="29"/>
        <v/>
      </c>
      <c r="Y121" s="446" t="str">
        <f t="shared" si="30"/>
        <v/>
      </c>
      <c r="Z121" s="158">
        <f t="shared" si="31"/>
        <v>145.5654761904762</v>
      </c>
      <c r="AA121" s="23" t="e">
        <f t="shared" si="32"/>
        <v>#DIV/0!</v>
      </c>
      <c r="AB121" s="445" t="e">
        <f t="shared" si="33"/>
        <v>#DIV/0!</v>
      </c>
      <c r="AC121" s="123"/>
    </row>
    <row r="122" spans="1:29" ht="12" customHeight="1">
      <c r="A122" s="11">
        <v>118</v>
      </c>
      <c r="B122" s="12" t="s">
        <v>367</v>
      </c>
      <c r="C122" s="17">
        <v>2</v>
      </c>
      <c r="D122" s="19" t="s">
        <v>431</v>
      </c>
      <c r="E122" s="17">
        <v>1</v>
      </c>
      <c r="F122" s="316" t="s">
        <v>434</v>
      </c>
      <c r="G122" s="319">
        <v>33.9</v>
      </c>
      <c r="H122" s="317" t="s">
        <v>410</v>
      </c>
      <c r="I122" s="14" t="s">
        <v>371</v>
      </c>
      <c r="J122" s="21" t="s">
        <v>176</v>
      </c>
      <c r="K122" s="12" t="s">
        <v>14</v>
      </c>
      <c r="L122" s="319">
        <f t="shared" si="24"/>
        <v>33.9</v>
      </c>
      <c r="M122" s="22">
        <v>1</v>
      </c>
      <c r="N122" s="78">
        <f>IF(K122="NV","",IF(VLOOKUP(M122,'R_Häufigkeit_Faktoren UHR'!$B$4:$I$24,7,FALSE)=0,"",VLOOKUP(M122,'R_Häufigkeit_Faktoren UHR'!$B$4:$I$24,7,FALSE)))</f>
        <v>4.3452380952380958</v>
      </c>
      <c r="O122" s="3">
        <f t="shared" si="25"/>
        <v>147.30357142857144</v>
      </c>
      <c r="P122" s="325"/>
      <c r="Q122" s="156">
        <f>IF(N122="","",VLOOKUP(J122,Raumgruppen_Leistungswerte!$B$5:$F$35,5,FALSE))</f>
        <v>0</v>
      </c>
      <c r="R122" s="157" t="e">
        <f t="shared" si="26"/>
        <v>#DIV/0!</v>
      </c>
      <c r="S122" s="445" t="e">
        <f t="shared" si="27"/>
        <v>#DIV/0!</v>
      </c>
      <c r="T122" s="78" t="str">
        <f>IF(K122="NV","",IF(VLOOKUP(M122,'R_Häufigkeit_Faktoren UHR'!$B$4:$I$24,8,FALSE)=0,"",VLOOKUP(M122,'R_Häufigkeit_Faktoren UHR'!$B$4:$I$24,8,FALSE)))</f>
        <v/>
      </c>
      <c r="U122" s="156" t="str">
        <f t="shared" si="28"/>
        <v/>
      </c>
      <c r="V122" s="427"/>
      <c r="W122" s="12" t="str">
        <f>IF(T122="","",VLOOKUP(J122,Raumgruppen_Leistungswerte!$B$5:$F$35,5,FALSE))</f>
        <v/>
      </c>
      <c r="X122" s="156" t="str">
        <f t="shared" si="29"/>
        <v/>
      </c>
      <c r="Y122" s="446" t="str">
        <f t="shared" si="30"/>
        <v/>
      </c>
      <c r="Z122" s="158">
        <f t="shared" si="31"/>
        <v>147.30357142857144</v>
      </c>
      <c r="AA122" s="23" t="e">
        <f t="shared" si="32"/>
        <v>#DIV/0!</v>
      </c>
      <c r="AB122" s="445" t="e">
        <f t="shared" si="33"/>
        <v>#DIV/0!</v>
      </c>
      <c r="AC122" s="123"/>
    </row>
    <row r="123" spans="1:29" ht="12" customHeight="1">
      <c r="A123" s="11">
        <v>119</v>
      </c>
      <c r="B123" s="12" t="s">
        <v>367</v>
      </c>
      <c r="C123" s="17">
        <v>2</v>
      </c>
      <c r="D123" s="19" t="s">
        <v>431</v>
      </c>
      <c r="E123" s="17">
        <v>1</v>
      </c>
      <c r="F123" s="316" t="s">
        <v>435</v>
      </c>
      <c r="G123" s="319">
        <v>24.6</v>
      </c>
      <c r="H123" s="317" t="s">
        <v>436</v>
      </c>
      <c r="I123" s="14" t="s">
        <v>371</v>
      </c>
      <c r="J123" s="15" t="s">
        <v>219</v>
      </c>
      <c r="K123" s="12" t="s">
        <v>14</v>
      </c>
      <c r="L123" s="319">
        <f t="shared" si="24"/>
        <v>24.6</v>
      </c>
      <c r="M123" s="22">
        <v>3</v>
      </c>
      <c r="N123" s="78">
        <f>IF(K123="NV","",IF(VLOOKUP(M123,'R_Häufigkeit_Faktoren UHR'!$B$4:$I$24,7,FALSE)=0,"",VLOOKUP(M123,'R_Häufigkeit_Faktoren UHR'!$B$4:$I$24,7,FALSE)))</f>
        <v>13.035714285714286</v>
      </c>
      <c r="O123" s="3">
        <f t="shared" si="25"/>
        <v>320.67857142857144</v>
      </c>
      <c r="P123" s="325"/>
      <c r="Q123" s="156">
        <f>IF(N123="","",VLOOKUP(J123,Raumgruppen_Leistungswerte!$B$5:$F$35,5,FALSE))</f>
        <v>0</v>
      </c>
      <c r="R123" s="157" t="e">
        <f t="shared" si="26"/>
        <v>#DIV/0!</v>
      </c>
      <c r="S123" s="445" t="e">
        <f t="shared" si="27"/>
        <v>#DIV/0!</v>
      </c>
      <c r="T123" s="78" t="str">
        <f>IF(K123="NV","",IF(VLOOKUP(M123,'R_Häufigkeit_Faktoren UHR'!$B$4:$I$24,8,FALSE)=0,"",VLOOKUP(M123,'R_Häufigkeit_Faktoren UHR'!$B$4:$I$24,8,FALSE)))</f>
        <v/>
      </c>
      <c r="U123" s="156" t="str">
        <f t="shared" si="28"/>
        <v/>
      </c>
      <c r="V123" s="427"/>
      <c r="W123" s="12" t="str">
        <f>IF(T123="","",VLOOKUP(J123,Raumgruppen_Leistungswerte!$B$5:$F$35,5,FALSE))</f>
        <v/>
      </c>
      <c r="X123" s="156" t="str">
        <f t="shared" si="29"/>
        <v/>
      </c>
      <c r="Y123" s="446" t="str">
        <f t="shared" si="30"/>
        <v/>
      </c>
      <c r="Z123" s="158">
        <f t="shared" si="31"/>
        <v>320.67857142857144</v>
      </c>
      <c r="AA123" s="23" t="e">
        <f t="shared" si="32"/>
        <v>#DIV/0!</v>
      </c>
      <c r="AB123" s="445" t="e">
        <f t="shared" si="33"/>
        <v>#DIV/0!</v>
      </c>
      <c r="AC123" s="123"/>
    </row>
    <row r="124" spans="1:29" ht="12" customHeight="1">
      <c r="A124" s="11">
        <v>120</v>
      </c>
      <c r="B124" s="12" t="s">
        <v>367</v>
      </c>
      <c r="C124" s="17">
        <v>2</v>
      </c>
      <c r="D124" s="19" t="s">
        <v>367</v>
      </c>
      <c r="E124" s="17">
        <v>1</v>
      </c>
      <c r="F124" s="316" t="s">
        <v>437</v>
      </c>
      <c r="G124" s="319">
        <v>12.9</v>
      </c>
      <c r="H124" s="317" t="s">
        <v>430</v>
      </c>
      <c r="I124" s="14" t="s">
        <v>371</v>
      </c>
      <c r="J124" s="21" t="s">
        <v>176</v>
      </c>
      <c r="K124" s="12" t="s">
        <v>14</v>
      </c>
      <c r="L124" s="319">
        <f t="shared" si="24"/>
        <v>12.9</v>
      </c>
      <c r="M124" s="22">
        <v>3</v>
      </c>
      <c r="N124" s="78">
        <f>IF(K124="NV","",IF(VLOOKUP(M124,'R_Häufigkeit_Faktoren UHR'!$B$4:$I$24,7,FALSE)=0,"",VLOOKUP(M124,'R_Häufigkeit_Faktoren UHR'!$B$4:$I$24,7,FALSE)))</f>
        <v>13.035714285714286</v>
      </c>
      <c r="O124" s="3">
        <f t="shared" si="25"/>
        <v>168.16071428571431</v>
      </c>
      <c r="P124" s="325"/>
      <c r="Q124" s="156">
        <f>IF(N124="","",VLOOKUP(J124,Raumgruppen_Leistungswerte!$B$5:$F$35,5,FALSE))</f>
        <v>0</v>
      </c>
      <c r="R124" s="157" t="e">
        <f t="shared" si="26"/>
        <v>#DIV/0!</v>
      </c>
      <c r="S124" s="445" t="e">
        <f t="shared" si="27"/>
        <v>#DIV/0!</v>
      </c>
      <c r="T124" s="78" t="str">
        <f>IF(K124="NV","",IF(VLOOKUP(M124,'R_Häufigkeit_Faktoren UHR'!$B$4:$I$24,8,FALSE)=0,"",VLOOKUP(M124,'R_Häufigkeit_Faktoren UHR'!$B$4:$I$24,8,FALSE)))</f>
        <v/>
      </c>
      <c r="U124" s="156" t="str">
        <f t="shared" si="28"/>
        <v/>
      </c>
      <c r="V124" s="427"/>
      <c r="W124" s="12" t="str">
        <f>IF(T124="","",VLOOKUP(J124,Raumgruppen_Leistungswerte!$B$5:$F$35,5,FALSE))</f>
        <v/>
      </c>
      <c r="X124" s="156" t="str">
        <f t="shared" si="29"/>
        <v/>
      </c>
      <c r="Y124" s="446" t="str">
        <f t="shared" si="30"/>
        <v/>
      </c>
      <c r="Z124" s="158">
        <f t="shared" si="31"/>
        <v>168.16071428571431</v>
      </c>
      <c r="AA124" s="23" t="e">
        <f t="shared" si="32"/>
        <v>#DIV/0!</v>
      </c>
      <c r="AB124" s="445" t="e">
        <f t="shared" si="33"/>
        <v>#DIV/0!</v>
      </c>
      <c r="AC124" s="123"/>
    </row>
    <row r="125" spans="1:29" ht="12" customHeight="1">
      <c r="A125" s="11">
        <v>121</v>
      </c>
      <c r="B125" s="12" t="s">
        <v>367</v>
      </c>
      <c r="C125" s="17">
        <v>2</v>
      </c>
      <c r="D125" s="19" t="s">
        <v>367</v>
      </c>
      <c r="E125" s="17">
        <v>1</v>
      </c>
      <c r="F125" s="316" t="s">
        <v>438</v>
      </c>
      <c r="G125" s="319">
        <v>12.9</v>
      </c>
      <c r="H125" s="317" t="s">
        <v>430</v>
      </c>
      <c r="I125" s="20" t="s">
        <v>371</v>
      </c>
      <c r="J125" s="21" t="s">
        <v>176</v>
      </c>
      <c r="K125" s="12" t="s">
        <v>14</v>
      </c>
      <c r="L125" s="319">
        <f t="shared" si="24"/>
        <v>12.9</v>
      </c>
      <c r="M125" s="22">
        <v>3</v>
      </c>
      <c r="N125" s="78">
        <f>IF(K125="NV","",IF(VLOOKUP(M125,'R_Häufigkeit_Faktoren UHR'!$B$4:$I$24,7,FALSE)=0,"",VLOOKUP(M125,'R_Häufigkeit_Faktoren UHR'!$B$4:$I$24,7,FALSE)))</f>
        <v>13.035714285714286</v>
      </c>
      <c r="O125" s="3">
        <f t="shared" si="25"/>
        <v>168.16071428571431</v>
      </c>
      <c r="P125" s="325"/>
      <c r="Q125" s="156">
        <f>IF(N125="","",VLOOKUP(J125,Raumgruppen_Leistungswerte!$B$5:$F$35,5,FALSE))</f>
        <v>0</v>
      </c>
      <c r="R125" s="157" t="e">
        <f t="shared" si="26"/>
        <v>#DIV/0!</v>
      </c>
      <c r="S125" s="445" t="e">
        <f t="shared" si="27"/>
        <v>#DIV/0!</v>
      </c>
      <c r="T125" s="78" t="str">
        <f>IF(K125="NV","",IF(VLOOKUP(M125,'R_Häufigkeit_Faktoren UHR'!$B$4:$I$24,8,FALSE)=0,"",VLOOKUP(M125,'R_Häufigkeit_Faktoren UHR'!$B$4:$I$24,8,FALSE)))</f>
        <v/>
      </c>
      <c r="U125" s="156" t="str">
        <f t="shared" si="28"/>
        <v/>
      </c>
      <c r="V125" s="427"/>
      <c r="W125" s="12" t="str">
        <f>IF(T125="","",VLOOKUP(J125,Raumgruppen_Leistungswerte!$B$5:$F$35,5,FALSE))</f>
        <v/>
      </c>
      <c r="X125" s="156" t="str">
        <f t="shared" si="29"/>
        <v/>
      </c>
      <c r="Y125" s="446" t="str">
        <f t="shared" si="30"/>
        <v/>
      </c>
      <c r="Z125" s="158">
        <f t="shared" si="31"/>
        <v>168.16071428571431</v>
      </c>
      <c r="AA125" s="23" t="e">
        <f t="shared" si="32"/>
        <v>#DIV/0!</v>
      </c>
      <c r="AB125" s="445" t="e">
        <f t="shared" si="33"/>
        <v>#DIV/0!</v>
      </c>
      <c r="AC125" s="123"/>
    </row>
    <row r="126" spans="1:29" ht="12" customHeight="1">
      <c r="A126" s="11">
        <v>122</v>
      </c>
      <c r="B126" s="12" t="s">
        <v>367</v>
      </c>
      <c r="C126" s="17">
        <v>2</v>
      </c>
      <c r="D126" s="19" t="s">
        <v>367</v>
      </c>
      <c r="E126" s="17">
        <v>1</v>
      </c>
      <c r="F126" s="316" t="s">
        <v>439</v>
      </c>
      <c r="G126" s="319">
        <v>12.9</v>
      </c>
      <c r="H126" s="317" t="s">
        <v>430</v>
      </c>
      <c r="I126" s="20" t="s">
        <v>371</v>
      </c>
      <c r="J126" s="21" t="s">
        <v>176</v>
      </c>
      <c r="K126" s="12" t="s">
        <v>14</v>
      </c>
      <c r="L126" s="319">
        <f t="shared" si="24"/>
        <v>12.9</v>
      </c>
      <c r="M126" s="22">
        <v>3</v>
      </c>
      <c r="N126" s="78">
        <f>IF(K126="NV","",IF(VLOOKUP(M126,'R_Häufigkeit_Faktoren UHR'!$B$4:$I$24,7,FALSE)=0,"",VLOOKUP(M126,'R_Häufigkeit_Faktoren UHR'!$B$4:$I$24,7,FALSE)))</f>
        <v>13.035714285714286</v>
      </c>
      <c r="O126" s="3">
        <f t="shared" si="25"/>
        <v>168.16071428571431</v>
      </c>
      <c r="P126" s="325"/>
      <c r="Q126" s="156">
        <f>IF(N126="","",VLOOKUP(J126,Raumgruppen_Leistungswerte!$B$5:$F$35,5,FALSE))</f>
        <v>0</v>
      </c>
      <c r="R126" s="157" t="e">
        <f t="shared" si="26"/>
        <v>#DIV/0!</v>
      </c>
      <c r="S126" s="445" t="e">
        <f t="shared" si="27"/>
        <v>#DIV/0!</v>
      </c>
      <c r="T126" s="78" t="str">
        <f>IF(K126="NV","",IF(VLOOKUP(M126,'R_Häufigkeit_Faktoren UHR'!$B$4:$I$24,8,FALSE)=0,"",VLOOKUP(M126,'R_Häufigkeit_Faktoren UHR'!$B$4:$I$24,8,FALSE)))</f>
        <v/>
      </c>
      <c r="U126" s="156" t="str">
        <f t="shared" si="28"/>
        <v/>
      </c>
      <c r="V126" s="427"/>
      <c r="W126" s="12" t="str">
        <f>IF(T126="","",VLOOKUP(J126,Raumgruppen_Leistungswerte!$B$5:$F$35,5,FALSE))</f>
        <v/>
      </c>
      <c r="X126" s="156" t="str">
        <f t="shared" si="29"/>
        <v/>
      </c>
      <c r="Y126" s="446" t="str">
        <f t="shared" si="30"/>
        <v/>
      </c>
      <c r="Z126" s="158">
        <f t="shared" si="31"/>
        <v>168.16071428571431</v>
      </c>
      <c r="AA126" s="23" t="e">
        <f t="shared" si="32"/>
        <v>#DIV/0!</v>
      </c>
      <c r="AB126" s="445" t="e">
        <f t="shared" si="33"/>
        <v>#DIV/0!</v>
      </c>
      <c r="AC126" s="123"/>
    </row>
    <row r="127" spans="1:29" ht="12" customHeight="1">
      <c r="A127" s="11">
        <v>123</v>
      </c>
      <c r="B127" s="12" t="s">
        <v>367</v>
      </c>
      <c r="C127" s="17">
        <v>2</v>
      </c>
      <c r="D127" s="19" t="s">
        <v>431</v>
      </c>
      <c r="E127" s="17">
        <v>1</v>
      </c>
      <c r="F127" s="316" t="s">
        <v>440</v>
      </c>
      <c r="G127" s="319">
        <v>12.8</v>
      </c>
      <c r="H127" s="317" t="s">
        <v>430</v>
      </c>
      <c r="I127" s="14" t="s">
        <v>371</v>
      </c>
      <c r="J127" s="21" t="s">
        <v>176</v>
      </c>
      <c r="K127" s="12" t="s">
        <v>14</v>
      </c>
      <c r="L127" s="319">
        <f t="shared" si="24"/>
        <v>12.8</v>
      </c>
      <c r="M127" s="22">
        <v>3</v>
      </c>
      <c r="N127" s="78">
        <f>IF(K127="NV","",IF(VLOOKUP(M127,'R_Häufigkeit_Faktoren UHR'!$B$4:$I$24,7,FALSE)=0,"",VLOOKUP(M127,'R_Häufigkeit_Faktoren UHR'!$B$4:$I$24,7,FALSE)))</f>
        <v>13.035714285714286</v>
      </c>
      <c r="O127" s="3">
        <f t="shared" si="25"/>
        <v>166.85714285714289</v>
      </c>
      <c r="P127" s="325"/>
      <c r="Q127" s="156">
        <f>IF(N127="","",VLOOKUP(J127,Raumgruppen_Leistungswerte!$B$5:$F$35,5,FALSE))</f>
        <v>0</v>
      </c>
      <c r="R127" s="157" t="e">
        <f t="shared" si="26"/>
        <v>#DIV/0!</v>
      </c>
      <c r="S127" s="445" t="e">
        <f t="shared" si="27"/>
        <v>#DIV/0!</v>
      </c>
      <c r="T127" s="78" t="str">
        <f>IF(K127="NV","",IF(VLOOKUP(M127,'R_Häufigkeit_Faktoren UHR'!$B$4:$I$24,8,FALSE)=0,"",VLOOKUP(M127,'R_Häufigkeit_Faktoren UHR'!$B$4:$I$24,8,FALSE)))</f>
        <v/>
      </c>
      <c r="U127" s="156" t="str">
        <f t="shared" si="28"/>
        <v/>
      </c>
      <c r="V127" s="427"/>
      <c r="W127" s="12" t="str">
        <f>IF(T127="","",VLOOKUP(J127,Raumgruppen_Leistungswerte!$B$5:$F$35,5,FALSE))</f>
        <v/>
      </c>
      <c r="X127" s="156" t="str">
        <f t="shared" si="29"/>
        <v/>
      </c>
      <c r="Y127" s="446" t="str">
        <f t="shared" si="30"/>
        <v/>
      </c>
      <c r="Z127" s="158">
        <f t="shared" si="31"/>
        <v>166.85714285714289</v>
      </c>
      <c r="AA127" s="23" t="e">
        <f t="shared" si="32"/>
        <v>#DIV/0!</v>
      </c>
      <c r="AB127" s="445" t="e">
        <f t="shared" si="33"/>
        <v>#DIV/0!</v>
      </c>
      <c r="AC127" s="123"/>
    </row>
    <row r="128" spans="1:29" ht="12" customHeight="1">
      <c r="A128" s="11">
        <v>124</v>
      </c>
      <c r="B128" s="12" t="s">
        <v>367</v>
      </c>
      <c r="C128" s="17">
        <v>2</v>
      </c>
      <c r="D128" s="19" t="s">
        <v>431</v>
      </c>
      <c r="E128" s="17">
        <v>1</v>
      </c>
      <c r="F128" s="316" t="s">
        <v>441</v>
      </c>
      <c r="G128" s="319">
        <v>12.3</v>
      </c>
      <c r="H128" s="317" t="s">
        <v>410</v>
      </c>
      <c r="I128" s="14" t="s">
        <v>371</v>
      </c>
      <c r="J128" s="21" t="s">
        <v>176</v>
      </c>
      <c r="K128" s="12" t="s">
        <v>14</v>
      </c>
      <c r="L128" s="319">
        <f t="shared" si="24"/>
        <v>12.3</v>
      </c>
      <c r="M128" s="22">
        <v>1</v>
      </c>
      <c r="N128" s="78">
        <f>IF(K128="NV","",IF(VLOOKUP(M128,'R_Häufigkeit_Faktoren UHR'!$B$4:$I$24,7,FALSE)=0,"",VLOOKUP(M128,'R_Häufigkeit_Faktoren UHR'!$B$4:$I$24,7,FALSE)))</f>
        <v>4.3452380952380958</v>
      </c>
      <c r="O128" s="3">
        <f t="shared" si="25"/>
        <v>53.446428571428584</v>
      </c>
      <c r="P128" s="325"/>
      <c r="Q128" s="156">
        <f>IF(N128="","",VLOOKUP(J128,Raumgruppen_Leistungswerte!$B$5:$F$35,5,FALSE))</f>
        <v>0</v>
      </c>
      <c r="R128" s="157" t="e">
        <f t="shared" si="26"/>
        <v>#DIV/0!</v>
      </c>
      <c r="S128" s="445" t="e">
        <f t="shared" si="27"/>
        <v>#DIV/0!</v>
      </c>
      <c r="T128" s="78" t="str">
        <f>IF(K128="NV","",IF(VLOOKUP(M128,'R_Häufigkeit_Faktoren UHR'!$B$4:$I$24,8,FALSE)=0,"",VLOOKUP(M128,'R_Häufigkeit_Faktoren UHR'!$B$4:$I$24,8,FALSE)))</f>
        <v/>
      </c>
      <c r="U128" s="156" t="str">
        <f t="shared" si="28"/>
        <v/>
      </c>
      <c r="V128" s="427"/>
      <c r="W128" s="12" t="str">
        <f>IF(T128="","",VLOOKUP(J128,Raumgruppen_Leistungswerte!$B$5:$F$35,5,FALSE))</f>
        <v/>
      </c>
      <c r="X128" s="156" t="str">
        <f t="shared" si="29"/>
        <v/>
      </c>
      <c r="Y128" s="446" t="str">
        <f t="shared" si="30"/>
        <v/>
      </c>
      <c r="Z128" s="158">
        <f t="shared" si="31"/>
        <v>53.446428571428584</v>
      </c>
      <c r="AA128" s="23" t="e">
        <f t="shared" si="32"/>
        <v>#DIV/0!</v>
      </c>
      <c r="AB128" s="445" t="e">
        <f t="shared" si="33"/>
        <v>#DIV/0!</v>
      </c>
      <c r="AC128" s="123"/>
    </row>
    <row r="129" spans="1:29" ht="12" customHeight="1">
      <c r="A129" s="11">
        <v>125</v>
      </c>
      <c r="B129" s="12" t="s">
        <v>367</v>
      </c>
      <c r="C129" s="17">
        <v>2</v>
      </c>
      <c r="D129" s="19" t="s">
        <v>399</v>
      </c>
      <c r="E129" s="17">
        <v>1</v>
      </c>
      <c r="F129" s="316" t="s">
        <v>442</v>
      </c>
      <c r="G129" s="319">
        <v>12.5</v>
      </c>
      <c r="H129" s="317" t="s">
        <v>410</v>
      </c>
      <c r="I129" s="14" t="s">
        <v>371</v>
      </c>
      <c r="J129" s="21" t="s">
        <v>176</v>
      </c>
      <c r="K129" s="12" t="s">
        <v>14</v>
      </c>
      <c r="L129" s="319">
        <f t="shared" si="24"/>
        <v>12.5</v>
      </c>
      <c r="M129" s="22">
        <v>1</v>
      </c>
      <c r="N129" s="78">
        <f>IF(K129="NV","",IF(VLOOKUP(M129,'R_Häufigkeit_Faktoren UHR'!$B$4:$I$24,7,FALSE)=0,"",VLOOKUP(M129,'R_Häufigkeit_Faktoren UHR'!$B$4:$I$24,7,FALSE)))</f>
        <v>4.3452380952380958</v>
      </c>
      <c r="O129" s="3">
        <f t="shared" si="25"/>
        <v>54.315476190476197</v>
      </c>
      <c r="P129" s="325"/>
      <c r="Q129" s="156">
        <f>IF(N129="","",VLOOKUP(J129,Raumgruppen_Leistungswerte!$B$5:$F$35,5,FALSE))</f>
        <v>0</v>
      </c>
      <c r="R129" s="157" t="e">
        <f t="shared" si="26"/>
        <v>#DIV/0!</v>
      </c>
      <c r="S129" s="445" t="e">
        <f t="shared" si="27"/>
        <v>#DIV/0!</v>
      </c>
      <c r="T129" s="78" t="str">
        <f>IF(K129="NV","",IF(VLOOKUP(M129,'R_Häufigkeit_Faktoren UHR'!$B$4:$I$24,8,FALSE)=0,"",VLOOKUP(M129,'R_Häufigkeit_Faktoren UHR'!$B$4:$I$24,8,FALSE)))</f>
        <v/>
      </c>
      <c r="U129" s="156" t="str">
        <f t="shared" si="28"/>
        <v/>
      </c>
      <c r="V129" s="427"/>
      <c r="W129" s="12" t="str">
        <f>IF(T129="","",VLOOKUP(J129,Raumgruppen_Leistungswerte!$B$5:$F$35,5,FALSE))</f>
        <v/>
      </c>
      <c r="X129" s="156" t="str">
        <f t="shared" si="29"/>
        <v/>
      </c>
      <c r="Y129" s="446" t="str">
        <f t="shared" si="30"/>
        <v/>
      </c>
      <c r="Z129" s="158">
        <f t="shared" si="31"/>
        <v>54.315476190476197</v>
      </c>
      <c r="AA129" s="23" t="e">
        <f t="shared" si="32"/>
        <v>#DIV/0!</v>
      </c>
      <c r="AB129" s="445" t="e">
        <f t="shared" si="33"/>
        <v>#DIV/0!</v>
      </c>
      <c r="AC129" s="123"/>
    </row>
    <row r="130" spans="1:29" ht="12" customHeight="1">
      <c r="A130" s="11">
        <v>126</v>
      </c>
      <c r="B130" s="12" t="s">
        <v>367</v>
      </c>
      <c r="C130" s="17">
        <v>2</v>
      </c>
      <c r="D130" s="19" t="s">
        <v>367</v>
      </c>
      <c r="E130" s="17">
        <v>1</v>
      </c>
      <c r="F130" s="316" t="s">
        <v>414</v>
      </c>
      <c r="G130" s="319">
        <v>27.2</v>
      </c>
      <c r="H130" s="317" t="s">
        <v>415</v>
      </c>
      <c r="I130" s="14" t="s">
        <v>371</v>
      </c>
      <c r="J130" s="21" t="s">
        <v>245</v>
      </c>
      <c r="K130" s="12" t="s">
        <v>14</v>
      </c>
      <c r="L130" s="319">
        <f t="shared" si="24"/>
        <v>27.2</v>
      </c>
      <c r="M130" s="22">
        <v>5</v>
      </c>
      <c r="N130" s="78">
        <f>IF(K130="NV","",IF(VLOOKUP(M130,'R_Häufigkeit_Faktoren UHR'!$B$4:$I$24,7,FALSE)=0,"",VLOOKUP(M130,'R_Häufigkeit_Faktoren UHR'!$B$4:$I$24,7,FALSE)))</f>
        <v>20.917857142857144</v>
      </c>
      <c r="O130" s="3">
        <f t="shared" si="25"/>
        <v>568.96571428571428</v>
      </c>
      <c r="P130" s="325"/>
      <c r="Q130" s="156">
        <f>IF(N130="","",VLOOKUP(J130,Raumgruppen_Leistungswerte!$B$5:$F$35,5,FALSE))</f>
        <v>0</v>
      </c>
      <c r="R130" s="157" t="e">
        <f t="shared" si="26"/>
        <v>#DIV/0!</v>
      </c>
      <c r="S130" s="445" t="e">
        <f t="shared" si="27"/>
        <v>#DIV/0!</v>
      </c>
      <c r="T130" s="78" t="str">
        <f>IF(K130="NV","",IF(VLOOKUP(M130,'R_Häufigkeit_Faktoren UHR'!$B$4:$I$24,8,FALSE)=0,"",VLOOKUP(M130,'R_Häufigkeit_Faktoren UHR'!$B$4:$I$24,8,FALSE)))</f>
        <v/>
      </c>
      <c r="U130" s="156" t="str">
        <f t="shared" si="28"/>
        <v/>
      </c>
      <c r="V130" s="427"/>
      <c r="W130" s="12" t="str">
        <f>IF(T130="","",VLOOKUP(J130,Raumgruppen_Leistungswerte!$B$5:$F$35,5,FALSE))</f>
        <v/>
      </c>
      <c r="X130" s="156" t="str">
        <f t="shared" si="29"/>
        <v/>
      </c>
      <c r="Y130" s="446" t="str">
        <f t="shared" si="30"/>
        <v/>
      </c>
      <c r="Z130" s="158">
        <f t="shared" si="31"/>
        <v>568.96571428571428</v>
      </c>
      <c r="AA130" s="23" t="e">
        <f t="shared" si="32"/>
        <v>#DIV/0!</v>
      </c>
      <c r="AB130" s="445" t="e">
        <f t="shared" si="33"/>
        <v>#DIV/0!</v>
      </c>
      <c r="AC130" s="123"/>
    </row>
    <row r="131" spans="1:29" ht="12" customHeight="1">
      <c r="A131" s="11">
        <v>127</v>
      </c>
      <c r="B131" s="12" t="s">
        <v>367</v>
      </c>
      <c r="C131" s="17">
        <v>2</v>
      </c>
      <c r="D131" s="19" t="s">
        <v>367</v>
      </c>
      <c r="E131" s="17">
        <v>1</v>
      </c>
      <c r="F131" s="316" t="s">
        <v>443</v>
      </c>
      <c r="G131" s="319">
        <v>6</v>
      </c>
      <c r="H131" s="317" t="s">
        <v>381</v>
      </c>
      <c r="I131" s="20" t="s">
        <v>383</v>
      </c>
      <c r="J131" s="21" t="s">
        <v>245</v>
      </c>
      <c r="K131" s="12" t="s">
        <v>14</v>
      </c>
      <c r="L131" s="319">
        <f t="shared" si="24"/>
        <v>6</v>
      </c>
      <c r="M131" s="22">
        <v>5</v>
      </c>
      <c r="N131" s="78">
        <f>IF(K131="NV","",IF(VLOOKUP(M131,'R_Häufigkeit_Faktoren UHR'!$B$4:$I$24,7,FALSE)=0,"",VLOOKUP(M131,'R_Häufigkeit_Faktoren UHR'!$B$4:$I$24,7,FALSE)))</f>
        <v>20.917857142857144</v>
      </c>
      <c r="O131" s="3">
        <f t="shared" si="25"/>
        <v>125.50714285714287</v>
      </c>
      <c r="P131" s="325"/>
      <c r="Q131" s="156">
        <f>IF(N131="","",VLOOKUP(J131,Raumgruppen_Leistungswerte!$B$5:$F$35,5,FALSE))</f>
        <v>0</v>
      </c>
      <c r="R131" s="157" t="e">
        <f t="shared" si="26"/>
        <v>#DIV/0!</v>
      </c>
      <c r="S131" s="445" t="e">
        <f t="shared" si="27"/>
        <v>#DIV/0!</v>
      </c>
      <c r="T131" s="78" t="str">
        <f>IF(K131="NV","",IF(VLOOKUP(M131,'R_Häufigkeit_Faktoren UHR'!$B$4:$I$24,8,FALSE)=0,"",VLOOKUP(M131,'R_Häufigkeit_Faktoren UHR'!$B$4:$I$24,8,FALSE)))</f>
        <v/>
      </c>
      <c r="U131" s="156" t="str">
        <f t="shared" si="28"/>
        <v/>
      </c>
      <c r="V131" s="427"/>
      <c r="W131" s="12" t="str">
        <f>IF(T131="","",VLOOKUP(J131,Raumgruppen_Leistungswerte!$B$5:$F$35,5,FALSE))</f>
        <v/>
      </c>
      <c r="X131" s="156" t="str">
        <f t="shared" si="29"/>
        <v/>
      </c>
      <c r="Y131" s="446" t="str">
        <f t="shared" si="30"/>
        <v/>
      </c>
      <c r="Z131" s="158">
        <f t="shared" si="31"/>
        <v>125.50714285714287</v>
      </c>
      <c r="AA131" s="23" t="e">
        <f t="shared" si="32"/>
        <v>#DIV/0!</v>
      </c>
      <c r="AB131" s="445" t="e">
        <f t="shared" si="33"/>
        <v>#DIV/0!</v>
      </c>
      <c r="AC131" s="123"/>
    </row>
    <row r="132" spans="1:29" ht="12" customHeight="1">
      <c r="A132" s="11">
        <v>128</v>
      </c>
      <c r="B132" s="12" t="s">
        <v>367</v>
      </c>
      <c r="C132" s="17">
        <v>2</v>
      </c>
      <c r="D132" s="19" t="s">
        <v>367</v>
      </c>
      <c r="E132" s="17">
        <v>1</v>
      </c>
      <c r="F132" s="316" t="s">
        <v>420</v>
      </c>
      <c r="G132" s="319">
        <v>18.399999999999999</v>
      </c>
      <c r="H132" s="317" t="s">
        <v>13</v>
      </c>
      <c r="I132" s="14" t="s">
        <v>371</v>
      </c>
      <c r="J132" s="21" t="s">
        <v>238</v>
      </c>
      <c r="K132" s="12" t="s">
        <v>14</v>
      </c>
      <c r="L132" s="319">
        <f t="shared" si="24"/>
        <v>18.399999999999999</v>
      </c>
      <c r="M132" s="22">
        <v>5</v>
      </c>
      <c r="N132" s="78">
        <f>IF(K132="NV","",IF(VLOOKUP(M132,'R_Häufigkeit_Faktoren UHR'!$B$4:$I$24,7,FALSE)=0,"",VLOOKUP(M132,'R_Häufigkeit_Faktoren UHR'!$B$4:$I$24,7,FALSE)))</f>
        <v>20.917857142857144</v>
      </c>
      <c r="O132" s="3">
        <f t="shared" si="25"/>
        <v>384.88857142857142</v>
      </c>
      <c r="P132" s="325"/>
      <c r="Q132" s="156">
        <f>IF(N132="","",VLOOKUP(J132,Raumgruppen_Leistungswerte!$B$5:$F$35,5,FALSE))</f>
        <v>0</v>
      </c>
      <c r="R132" s="157" t="e">
        <f t="shared" si="26"/>
        <v>#DIV/0!</v>
      </c>
      <c r="S132" s="445" t="e">
        <f t="shared" si="27"/>
        <v>#DIV/0!</v>
      </c>
      <c r="T132" s="78" t="str">
        <f>IF(K132="NV","",IF(VLOOKUP(M132,'R_Häufigkeit_Faktoren UHR'!$B$4:$I$24,8,FALSE)=0,"",VLOOKUP(M132,'R_Häufigkeit_Faktoren UHR'!$B$4:$I$24,8,FALSE)))</f>
        <v/>
      </c>
      <c r="U132" s="156" t="str">
        <f t="shared" si="28"/>
        <v/>
      </c>
      <c r="V132" s="427"/>
      <c r="W132" s="12" t="str">
        <f>IF(T132="","",VLOOKUP(J132,Raumgruppen_Leistungswerte!$B$5:$F$35,5,FALSE))</f>
        <v/>
      </c>
      <c r="X132" s="156" t="str">
        <f t="shared" si="29"/>
        <v/>
      </c>
      <c r="Y132" s="446" t="str">
        <f t="shared" si="30"/>
        <v/>
      </c>
      <c r="Z132" s="158">
        <f t="shared" si="31"/>
        <v>384.88857142857142</v>
      </c>
      <c r="AA132" s="23" t="e">
        <f t="shared" si="32"/>
        <v>#DIV/0!</v>
      </c>
      <c r="AB132" s="445" t="e">
        <f t="shared" si="33"/>
        <v>#DIV/0!</v>
      </c>
      <c r="AC132" s="123"/>
    </row>
    <row r="133" spans="1:29" ht="12" customHeight="1">
      <c r="A133" s="11">
        <v>129</v>
      </c>
      <c r="B133" s="12" t="s">
        <v>367</v>
      </c>
      <c r="C133" s="17">
        <v>2</v>
      </c>
      <c r="D133" s="19" t="s">
        <v>367</v>
      </c>
      <c r="E133" s="17">
        <v>1</v>
      </c>
      <c r="F133" s="316" t="s">
        <v>384</v>
      </c>
      <c r="G133" s="319">
        <v>10.3</v>
      </c>
      <c r="H133" s="317" t="s">
        <v>385</v>
      </c>
      <c r="I133" s="20" t="s">
        <v>282</v>
      </c>
      <c r="J133" s="21" t="s">
        <v>1</v>
      </c>
      <c r="K133" s="12" t="s">
        <v>14</v>
      </c>
      <c r="L133" s="319">
        <f t="shared" si="24"/>
        <v>10.3</v>
      </c>
      <c r="M133" s="22">
        <v>6</v>
      </c>
      <c r="N133" s="79">
        <f>IF(K133="NV","",IF(VLOOKUP(M133,'R_Häufigkeit_Faktoren UHR'!$B$4:$I$24,7,FALSE)=0,"",VLOOKUP(M133,'R_Häufigkeit_Faktoren UHR'!$B$4:$I$24,7,FALSE)))</f>
        <v>25.263095238095236</v>
      </c>
      <c r="O133" s="3">
        <f t="shared" si="25"/>
        <v>260.20988095238096</v>
      </c>
      <c r="P133" s="325"/>
      <c r="Q133" s="156">
        <f>IF(N133="","",VLOOKUP(J133,Raumgruppen_Leistungswerte!$B$5:$F$35,5,FALSE))</f>
        <v>0</v>
      </c>
      <c r="R133" s="157" t="e">
        <f t="shared" si="26"/>
        <v>#DIV/0!</v>
      </c>
      <c r="S133" s="445" t="e">
        <f t="shared" si="27"/>
        <v>#DIV/0!</v>
      </c>
      <c r="T133" s="78" t="str">
        <f>IF(K133="NV","",IF(VLOOKUP(M133,'R_Häufigkeit_Faktoren UHR'!$B$4:$I$24,8,FALSE)=0,"",VLOOKUP(M133,'R_Häufigkeit_Faktoren UHR'!$B$4:$I$24,8,FALSE)))</f>
        <v/>
      </c>
      <c r="U133" s="156" t="str">
        <f t="shared" si="28"/>
        <v/>
      </c>
      <c r="V133" s="427"/>
      <c r="W133" s="12" t="str">
        <f>IF(T133="","",VLOOKUP(J133,Raumgruppen_Leistungswerte!$B$5:$F$35,5,FALSE))</f>
        <v/>
      </c>
      <c r="X133" s="156" t="str">
        <f t="shared" si="29"/>
        <v/>
      </c>
      <c r="Y133" s="446" t="str">
        <f t="shared" si="30"/>
        <v/>
      </c>
      <c r="Z133" s="158">
        <f t="shared" si="31"/>
        <v>260.20988095238096</v>
      </c>
      <c r="AA133" s="23" t="e">
        <f t="shared" si="32"/>
        <v>#DIV/0!</v>
      </c>
      <c r="AB133" s="445" t="e">
        <f t="shared" si="33"/>
        <v>#DIV/0!</v>
      </c>
      <c r="AC133" s="123"/>
    </row>
    <row r="134" spans="1:29" ht="12" customHeight="1">
      <c r="A134" s="11">
        <v>130</v>
      </c>
      <c r="B134" s="12" t="s">
        <v>367</v>
      </c>
      <c r="C134" s="17">
        <v>2</v>
      </c>
      <c r="D134" s="19" t="s">
        <v>367</v>
      </c>
      <c r="E134" s="17">
        <v>1</v>
      </c>
      <c r="F134" s="316" t="s">
        <v>386</v>
      </c>
      <c r="G134" s="319">
        <v>10.199999999999999</v>
      </c>
      <c r="H134" s="317" t="s">
        <v>387</v>
      </c>
      <c r="I134" s="20" t="s">
        <v>282</v>
      </c>
      <c r="J134" s="21" t="s">
        <v>1</v>
      </c>
      <c r="K134" s="12" t="s">
        <v>14</v>
      </c>
      <c r="L134" s="319">
        <f t="shared" si="24"/>
        <v>10.199999999999999</v>
      </c>
      <c r="M134" s="22">
        <v>6</v>
      </c>
      <c r="N134" s="78">
        <f>IF(K134="NV","",IF(VLOOKUP(M134,'R_Häufigkeit_Faktoren UHR'!$B$4:$I$24,7,FALSE)=0,"",VLOOKUP(M134,'R_Häufigkeit_Faktoren UHR'!$B$4:$I$24,7,FALSE)))</f>
        <v>25.263095238095236</v>
      </c>
      <c r="O134" s="3">
        <f t="shared" si="25"/>
        <v>257.68357142857138</v>
      </c>
      <c r="P134" s="325"/>
      <c r="Q134" s="156">
        <f>IF(N134="","",VLOOKUP(J134,Raumgruppen_Leistungswerte!$B$5:$F$35,5,FALSE))</f>
        <v>0</v>
      </c>
      <c r="R134" s="157" t="e">
        <f t="shared" si="26"/>
        <v>#DIV/0!</v>
      </c>
      <c r="S134" s="445" t="e">
        <f t="shared" si="27"/>
        <v>#DIV/0!</v>
      </c>
      <c r="T134" s="78" t="str">
        <f>IF(K134="NV","",IF(VLOOKUP(M134,'R_Häufigkeit_Faktoren UHR'!$B$4:$I$24,8,FALSE)=0,"",VLOOKUP(M134,'R_Häufigkeit_Faktoren UHR'!$B$4:$I$24,8,FALSE)))</f>
        <v/>
      </c>
      <c r="U134" s="156" t="str">
        <f t="shared" si="28"/>
        <v/>
      </c>
      <c r="V134" s="427"/>
      <c r="W134" s="12" t="str">
        <f>IF(T134="","",VLOOKUP(J134,Raumgruppen_Leistungswerte!$B$5:$F$35,5,FALSE))</f>
        <v/>
      </c>
      <c r="X134" s="156" t="str">
        <f t="shared" si="29"/>
        <v/>
      </c>
      <c r="Y134" s="446" t="str">
        <f t="shared" si="30"/>
        <v/>
      </c>
      <c r="Z134" s="158">
        <f t="shared" si="31"/>
        <v>257.68357142857138</v>
      </c>
      <c r="AA134" s="23" t="e">
        <f t="shared" si="32"/>
        <v>#DIV/0!</v>
      </c>
      <c r="AB134" s="445" t="e">
        <f t="shared" si="33"/>
        <v>#DIV/0!</v>
      </c>
      <c r="AC134" s="123"/>
    </row>
    <row r="135" spans="1:29" ht="12" customHeight="1">
      <c r="A135" s="11">
        <v>131</v>
      </c>
      <c r="B135" s="12" t="s">
        <v>367</v>
      </c>
      <c r="C135" s="17">
        <v>2</v>
      </c>
      <c r="D135" s="19" t="s">
        <v>367</v>
      </c>
      <c r="E135" s="17">
        <v>1</v>
      </c>
      <c r="F135" s="316" t="s">
        <v>424</v>
      </c>
      <c r="G135" s="319">
        <v>5.8</v>
      </c>
      <c r="H135" s="317" t="s">
        <v>425</v>
      </c>
      <c r="I135" s="20" t="s">
        <v>282</v>
      </c>
      <c r="J135" s="21" t="s">
        <v>1</v>
      </c>
      <c r="K135" s="12" t="s">
        <v>14</v>
      </c>
      <c r="L135" s="319">
        <f t="shared" si="24"/>
        <v>5.8</v>
      </c>
      <c r="M135" s="22">
        <v>6</v>
      </c>
      <c r="N135" s="78">
        <f>IF(K135="NV","",IF(VLOOKUP(M135,'R_Häufigkeit_Faktoren UHR'!$B$4:$I$24,7,FALSE)=0,"",VLOOKUP(M135,'R_Häufigkeit_Faktoren UHR'!$B$4:$I$24,7,FALSE)))</f>
        <v>25.263095238095236</v>
      </c>
      <c r="O135" s="3">
        <f t="shared" si="25"/>
        <v>146.52595238095236</v>
      </c>
      <c r="P135" s="325"/>
      <c r="Q135" s="156">
        <f>IF(N135="","",VLOOKUP(J135,Raumgruppen_Leistungswerte!$B$5:$F$35,5,FALSE))</f>
        <v>0</v>
      </c>
      <c r="R135" s="157" t="e">
        <f t="shared" si="26"/>
        <v>#DIV/0!</v>
      </c>
      <c r="S135" s="445" t="e">
        <f t="shared" si="27"/>
        <v>#DIV/0!</v>
      </c>
      <c r="T135" s="78" t="str">
        <f>IF(K135="NV","",IF(VLOOKUP(M135,'R_Häufigkeit_Faktoren UHR'!$B$4:$I$24,8,FALSE)=0,"",VLOOKUP(M135,'R_Häufigkeit_Faktoren UHR'!$B$4:$I$24,8,FALSE)))</f>
        <v/>
      </c>
      <c r="U135" s="156" t="str">
        <f t="shared" si="28"/>
        <v/>
      </c>
      <c r="V135" s="427"/>
      <c r="W135" s="12" t="str">
        <f>IF(T135="","",VLOOKUP(J135,Raumgruppen_Leistungswerte!$B$5:$F$35,5,FALSE))</f>
        <v/>
      </c>
      <c r="X135" s="156" t="str">
        <f t="shared" si="29"/>
        <v/>
      </c>
      <c r="Y135" s="446" t="str">
        <f t="shared" si="30"/>
        <v/>
      </c>
      <c r="Z135" s="158">
        <f t="shared" si="31"/>
        <v>146.52595238095236</v>
      </c>
      <c r="AA135" s="23" t="e">
        <f t="shared" si="32"/>
        <v>#DIV/0!</v>
      </c>
      <c r="AB135" s="445" t="e">
        <f t="shared" si="33"/>
        <v>#DIV/0!</v>
      </c>
      <c r="AC135" s="123"/>
    </row>
    <row r="136" spans="1:29" ht="12" customHeight="1">
      <c r="A136" s="11">
        <v>132</v>
      </c>
      <c r="B136" s="12" t="s">
        <v>367</v>
      </c>
      <c r="C136" s="17">
        <v>2</v>
      </c>
      <c r="D136" s="19" t="s">
        <v>416</v>
      </c>
      <c r="E136" s="17">
        <v>1</v>
      </c>
      <c r="F136" s="316" t="s">
        <v>423</v>
      </c>
      <c r="G136" s="319">
        <v>10.6</v>
      </c>
      <c r="H136" s="317" t="s">
        <v>418</v>
      </c>
      <c r="I136" s="14" t="s">
        <v>383</v>
      </c>
      <c r="J136" s="21" t="s">
        <v>121</v>
      </c>
      <c r="K136" s="12" t="s">
        <v>173</v>
      </c>
      <c r="L136" s="319" t="str">
        <f t="shared" si="24"/>
        <v/>
      </c>
      <c r="M136" s="22"/>
      <c r="N136" s="78" t="str">
        <f>IF(K136="NV","",IF(VLOOKUP(M136,'R_Häufigkeit_Faktoren UHR'!$B$4:$I$24,7,FALSE)=0,"",VLOOKUP(M136,'R_Häufigkeit_Faktoren UHR'!$B$4:$I$24,7,FALSE)))</f>
        <v/>
      </c>
      <c r="O136" s="3" t="str">
        <f t="shared" si="25"/>
        <v/>
      </c>
      <c r="P136" s="325"/>
      <c r="Q136" s="156" t="str">
        <f>IF(N136="","",VLOOKUP(J136,Raumgruppen_Leistungswerte!$B$5:$F$35,5,FALSE))</f>
        <v/>
      </c>
      <c r="R136" s="157" t="str">
        <f t="shared" si="26"/>
        <v/>
      </c>
      <c r="S136" s="445" t="str">
        <f t="shared" si="27"/>
        <v/>
      </c>
      <c r="T136" s="78" t="str">
        <f>IF(K136="NV","",IF(VLOOKUP(M136,'R_Häufigkeit_Faktoren UHR'!$B$4:$I$24,8,FALSE)=0,"",VLOOKUP(M136,'R_Häufigkeit_Faktoren UHR'!$B$4:$I$24,8,FALSE)))</f>
        <v/>
      </c>
      <c r="U136" s="156" t="str">
        <f t="shared" si="28"/>
        <v/>
      </c>
      <c r="V136" s="427"/>
      <c r="W136" s="12" t="str">
        <f>IF(T136="","",VLOOKUP(J136,Raumgruppen_Leistungswerte!$B$5:$F$35,5,FALSE))</f>
        <v/>
      </c>
      <c r="X136" s="156" t="str">
        <f t="shared" si="29"/>
        <v/>
      </c>
      <c r="Y136" s="446" t="str">
        <f t="shared" si="30"/>
        <v/>
      </c>
      <c r="Z136" s="158" t="str">
        <f t="shared" si="31"/>
        <v/>
      </c>
      <c r="AA136" s="23" t="str">
        <f t="shared" si="32"/>
        <v/>
      </c>
      <c r="AB136" s="445" t="str">
        <f t="shared" si="33"/>
        <v/>
      </c>
      <c r="AC136" s="123"/>
    </row>
    <row r="137" spans="1:29" ht="12" customHeight="1">
      <c r="A137" s="11">
        <v>133</v>
      </c>
      <c r="B137" s="12" t="s">
        <v>367</v>
      </c>
      <c r="C137" s="17">
        <v>2</v>
      </c>
      <c r="D137" s="19" t="s">
        <v>272</v>
      </c>
      <c r="E137" s="17">
        <v>1</v>
      </c>
      <c r="F137" s="316" t="s">
        <v>427</v>
      </c>
      <c r="G137" s="319">
        <v>34.299999999999997</v>
      </c>
      <c r="H137" s="317" t="s">
        <v>365</v>
      </c>
      <c r="I137" s="14" t="s">
        <v>335</v>
      </c>
      <c r="J137" s="21" t="s">
        <v>240</v>
      </c>
      <c r="K137" s="12" t="s">
        <v>14</v>
      </c>
      <c r="L137" s="319">
        <f t="shared" si="24"/>
        <v>34.299999999999997</v>
      </c>
      <c r="M137" s="22">
        <v>3</v>
      </c>
      <c r="N137" s="78">
        <f>IF(K137="NV","",IF(VLOOKUP(M137,'R_Häufigkeit_Faktoren UHR'!$B$4:$I$24,7,FALSE)=0,"",VLOOKUP(M137,'R_Häufigkeit_Faktoren UHR'!$B$4:$I$24,7,FALSE)))</f>
        <v>13.035714285714286</v>
      </c>
      <c r="O137" s="3">
        <f t="shared" si="25"/>
        <v>447.125</v>
      </c>
      <c r="P137" s="325"/>
      <c r="Q137" s="156">
        <f>IF(N137="","",VLOOKUP(J137,Raumgruppen_Leistungswerte!$B$5:$F$35,5,FALSE))</f>
        <v>0</v>
      </c>
      <c r="R137" s="157" t="e">
        <f t="shared" si="26"/>
        <v>#DIV/0!</v>
      </c>
      <c r="S137" s="445" t="e">
        <f t="shared" si="27"/>
        <v>#DIV/0!</v>
      </c>
      <c r="T137" s="78" t="str">
        <f>IF(K137="NV","",IF(VLOOKUP(M137,'R_Häufigkeit_Faktoren UHR'!$B$4:$I$24,8,FALSE)=0,"",VLOOKUP(M137,'R_Häufigkeit_Faktoren UHR'!$B$4:$I$24,8,FALSE)))</f>
        <v/>
      </c>
      <c r="U137" s="156" t="str">
        <f t="shared" si="28"/>
        <v/>
      </c>
      <c r="V137" s="427"/>
      <c r="W137" s="12" t="str">
        <f>IF(T137="","",VLOOKUP(J137,Raumgruppen_Leistungswerte!$B$5:$F$35,5,FALSE))</f>
        <v/>
      </c>
      <c r="X137" s="156" t="str">
        <f t="shared" si="29"/>
        <v/>
      </c>
      <c r="Y137" s="446" t="str">
        <f t="shared" si="30"/>
        <v/>
      </c>
      <c r="Z137" s="158">
        <f t="shared" si="31"/>
        <v>447.125</v>
      </c>
      <c r="AA137" s="23" t="e">
        <f t="shared" si="32"/>
        <v>#DIV/0!</v>
      </c>
      <c r="AB137" s="445" t="e">
        <f t="shared" si="33"/>
        <v>#DIV/0!</v>
      </c>
      <c r="AC137" s="123"/>
    </row>
    <row r="138" spans="1:29" ht="12" customHeight="1">
      <c r="A138" s="11">
        <v>134</v>
      </c>
      <c r="B138" s="12" t="s">
        <v>367</v>
      </c>
      <c r="C138" s="17">
        <v>3</v>
      </c>
      <c r="D138" s="19" t="s">
        <v>367</v>
      </c>
      <c r="E138" s="17">
        <v>1</v>
      </c>
      <c r="F138" s="316" t="s">
        <v>370</v>
      </c>
      <c r="G138" s="319">
        <v>50.8</v>
      </c>
      <c r="H138" s="317" t="s">
        <v>13</v>
      </c>
      <c r="I138" s="14" t="s">
        <v>371</v>
      </c>
      <c r="J138" s="21" t="s">
        <v>238</v>
      </c>
      <c r="K138" s="12" t="s">
        <v>14</v>
      </c>
      <c r="L138" s="319">
        <f t="shared" si="24"/>
        <v>50.8</v>
      </c>
      <c r="M138" s="22">
        <v>5</v>
      </c>
      <c r="N138" s="79">
        <f>IF(K138="NV","",IF(VLOOKUP(M138,'R_Häufigkeit_Faktoren UHR'!$B$4:$I$24,7,FALSE)=0,"",VLOOKUP(M138,'R_Häufigkeit_Faktoren UHR'!$B$4:$I$24,7,FALSE)))</f>
        <v>20.917857142857144</v>
      </c>
      <c r="O138" s="3">
        <f t="shared" si="25"/>
        <v>1062.6271428571429</v>
      </c>
      <c r="P138" s="325"/>
      <c r="Q138" s="156">
        <f>IF(N138="","",VLOOKUP(J138,Raumgruppen_Leistungswerte!$B$5:$F$35,5,FALSE))</f>
        <v>0</v>
      </c>
      <c r="R138" s="157" t="e">
        <f t="shared" si="26"/>
        <v>#DIV/0!</v>
      </c>
      <c r="S138" s="445" t="e">
        <f t="shared" si="27"/>
        <v>#DIV/0!</v>
      </c>
      <c r="T138" s="78" t="str">
        <f>IF(K138="NV","",IF(VLOOKUP(M138,'R_Häufigkeit_Faktoren UHR'!$B$4:$I$24,8,FALSE)=0,"",VLOOKUP(M138,'R_Häufigkeit_Faktoren UHR'!$B$4:$I$24,8,FALSE)))</f>
        <v/>
      </c>
      <c r="U138" s="156" t="str">
        <f t="shared" si="28"/>
        <v/>
      </c>
      <c r="V138" s="427"/>
      <c r="W138" s="12" t="str">
        <f>IF(T138="","",VLOOKUP(J138,Raumgruppen_Leistungswerte!$B$5:$F$35,5,FALSE))</f>
        <v/>
      </c>
      <c r="X138" s="156" t="str">
        <f t="shared" si="29"/>
        <v/>
      </c>
      <c r="Y138" s="446" t="str">
        <f t="shared" si="30"/>
        <v/>
      </c>
      <c r="Z138" s="158">
        <f t="shared" si="31"/>
        <v>1062.6271428571429</v>
      </c>
      <c r="AA138" s="23" t="e">
        <f t="shared" si="32"/>
        <v>#DIV/0!</v>
      </c>
      <c r="AB138" s="445" t="e">
        <f t="shared" si="33"/>
        <v>#DIV/0!</v>
      </c>
      <c r="AC138" s="123"/>
    </row>
    <row r="139" spans="1:29" ht="12" customHeight="1">
      <c r="A139" s="11">
        <v>135</v>
      </c>
      <c r="B139" s="12" t="s">
        <v>367</v>
      </c>
      <c r="C139" s="17">
        <v>3</v>
      </c>
      <c r="D139" s="19" t="s">
        <v>367</v>
      </c>
      <c r="E139" s="17">
        <v>1</v>
      </c>
      <c r="F139" s="316" t="s">
        <v>420</v>
      </c>
      <c r="G139" s="319">
        <v>23.7</v>
      </c>
      <c r="H139" s="317" t="s">
        <v>13</v>
      </c>
      <c r="I139" s="14" t="s">
        <v>371</v>
      </c>
      <c r="J139" s="21" t="s">
        <v>238</v>
      </c>
      <c r="K139" s="12" t="s">
        <v>14</v>
      </c>
      <c r="L139" s="319">
        <f t="shared" si="24"/>
        <v>23.7</v>
      </c>
      <c r="M139" s="22">
        <v>5</v>
      </c>
      <c r="N139" s="79">
        <f>IF(K139="NV","",IF(VLOOKUP(M139,'R_Häufigkeit_Faktoren UHR'!$B$4:$I$24,7,FALSE)=0,"",VLOOKUP(M139,'R_Häufigkeit_Faktoren UHR'!$B$4:$I$24,7,FALSE)))</f>
        <v>20.917857142857144</v>
      </c>
      <c r="O139" s="3">
        <f t="shared" si="25"/>
        <v>495.75321428571431</v>
      </c>
      <c r="P139" s="325"/>
      <c r="Q139" s="156">
        <f>IF(N139="","",VLOOKUP(J139,Raumgruppen_Leistungswerte!$B$5:$F$35,5,FALSE))</f>
        <v>0</v>
      </c>
      <c r="R139" s="157" t="e">
        <f t="shared" si="26"/>
        <v>#DIV/0!</v>
      </c>
      <c r="S139" s="445" t="e">
        <f t="shared" si="27"/>
        <v>#DIV/0!</v>
      </c>
      <c r="T139" s="78" t="str">
        <f>IF(K139="NV","",IF(VLOOKUP(M139,'R_Häufigkeit_Faktoren UHR'!$B$4:$I$24,8,FALSE)=0,"",VLOOKUP(M139,'R_Häufigkeit_Faktoren UHR'!$B$4:$I$24,8,FALSE)))</f>
        <v/>
      </c>
      <c r="U139" s="156" t="str">
        <f t="shared" si="28"/>
        <v/>
      </c>
      <c r="V139" s="427"/>
      <c r="W139" s="12" t="str">
        <f>IF(T139="","",VLOOKUP(J139,Raumgruppen_Leistungswerte!$B$5:$F$35,5,FALSE))</f>
        <v/>
      </c>
      <c r="X139" s="156" t="str">
        <f t="shared" si="29"/>
        <v/>
      </c>
      <c r="Y139" s="446" t="str">
        <f t="shared" si="30"/>
        <v/>
      </c>
      <c r="Z139" s="158">
        <f t="shared" si="31"/>
        <v>495.75321428571431</v>
      </c>
      <c r="AA139" s="23" t="e">
        <f t="shared" si="32"/>
        <v>#DIV/0!</v>
      </c>
      <c r="AB139" s="445" t="e">
        <f t="shared" si="33"/>
        <v>#DIV/0!</v>
      </c>
      <c r="AC139" s="123"/>
    </row>
    <row r="140" spans="1:29" ht="12" customHeight="1">
      <c r="A140" s="11">
        <v>136</v>
      </c>
      <c r="B140" s="12" t="s">
        <v>367</v>
      </c>
      <c r="C140" s="17">
        <v>3</v>
      </c>
      <c r="D140" s="19" t="s">
        <v>367</v>
      </c>
      <c r="E140" s="17">
        <v>1</v>
      </c>
      <c r="F140" s="18" t="s">
        <v>384</v>
      </c>
      <c r="G140" s="319">
        <v>10</v>
      </c>
      <c r="H140" s="19" t="s">
        <v>385</v>
      </c>
      <c r="I140" s="20" t="s">
        <v>282</v>
      </c>
      <c r="J140" s="21" t="s">
        <v>1</v>
      </c>
      <c r="K140" s="12" t="s">
        <v>14</v>
      </c>
      <c r="L140" s="319">
        <f t="shared" si="24"/>
        <v>10</v>
      </c>
      <c r="M140" s="22">
        <v>7</v>
      </c>
      <c r="N140" s="79">
        <f>IF(K140="NV","",IF(VLOOKUP(M140,'R_Häufigkeit_Faktoren UHR'!$B$4:$I$24,7,FALSE)=0,"",VLOOKUP(M140,'R_Häufigkeit_Faktoren UHR'!$B$4:$I$24,7,FALSE)))</f>
        <v>30.416666666666668</v>
      </c>
      <c r="O140" s="3">
        <f t="shared" si="25"/>
        <v>304.16666666666669</v>
      </c>
      <c r="P140" s="325"/>
      <c r="Q140" s="156">
        <f>IF(N140="","",VLOOKUP(J140,Raumgruppen_Leistungswerte!$B$5:$F$35,5,FALSE))</f>
        <v>0</v>
      </c>
      <c r="R140" s="157" t="e">
        <f t="shared" si="26"/>
        <v>#DIV/0!</v>
      </c>
      <c r="S140" s="445" t="e">
        <f t="shared" si="27"/>
        <v>#DIV/0!</v>
      </c>
      <c r="T140" s="78">
        <f>IF(K140="NV","",IF(VLOOKUP(M140,'R_Häufigkeit_Faktoren UHR'!$B$4:$I$24,8,FALSE)=0,"",VLOOKUP(M140,'R_Häufigkeit_Faktoren UHR'!$B$4:$I$24,8,FALSE)))</f>
        <v>4.333333333333333</v>
      </c>
      <c r="U140" s="156">
        <f t="shared" si="28"/>
        <v>43.333333333333329</v>
      </c>
      <c r="V140" s="427"/>
      <c r="W140" s="12">
        <f>IF(T140="","",VLOOKUP(J140,Raumgruppen_Leistungswerte!$B$5:$F$35,5,FALSE))</f>
        <v>0</v>
      </c>
      <c r="X140" s="156" t="e">
        <f t="shared" si="29"/>
        <v>#DIV/0!</v>
      </c>
      <c r="Y140" s="446" t="e">
        <f t="shared" si="30"/>
        <v>#DIV/0!</v>
      </c>
      <c r="Z140" s="158">
        <f t="shared" si="31"/>
        <v>347.5</v>
      </c>
      <c r="AA140" s="23" t="e">
        <f t="shared" si="32"/>
        <v>#DIV/0!</v>
      </c>
      <c r="AB140" s="445" t="e">
        <f t="shared" si="33"/>
        <v>#DIV/0!</v>
      </c>
      <c r="AC140" s="123"/>
    </row>
    <row r="141" spans="1:29" ht="12" customHeight="1">
      <c r="A141" s="11">
        <v>137</v>
      </c>
      <c r="B141" s="12" t="s">
        <v>367</v>
      </c>
      <c r="C141" s="17">
        <v>3</v>
      </c>
      <c r="D141" s="19" t="s">
        <v>367</v>
      </c>
      <c r="E141" s="17">
        <v>1</v>
      </c>
      <c r="F141" s="18" t="s">
        <v>386</v>
      </c>
      <c r="G141" s="319">
        <v>10.1</v>
      </c>
      <c r="H141" s="19" t="s">
        <v>387</v>
      </c>
      <c r="I141" s="20" t="s">
        <v>282</v>
      </c>
      <c r="J141" s="21" t="s">
        <v>1</v>
      </c>
      <c r="K141" s="12" t="s">
        <v>14</v>
      </c>
      <c r="L141" s="319">
        <f t="shared" si="24"/>
        <v>10.1</v>
      </c>
      <c r="M141" s="22">
        <v>7</v>
      </c>
      <c r="N141" s="79">
        <f>IF(K141="NV","",IF(VLOOKUP(M141,'R_Häufigkeit_Faktoren UHR'!$B$4:$I$24,7,FALSE)=0,"",VLOOKUP(M141,'R_Häufigkeit_Faktoren UHR'!$B$4:$I$24,7,FALSE)))</f>
        <v>30.416666666666668</v>
      </c>
      <c r="O141" s="3">
        <f t="shared" si="25"/>
        <v>307.20833333333331</v>
      </c>
      <c r="P141" s="325"/>
      <c r="Q141" s="156">
        <f>IF(N141="","",VLOOKUP(J141,Raumgruppen_Leistungswerte!$B$5:$F$35,5,FALSE))</f>
        <v>0</v>
      </c>
      <c r="R141" s="157" t="e">
        <f t="shared" si="26"/>
        <v>#DIV/0!</v>
      </c>
      <c r="S141" s="445" t="e">
        <f t="shared" si="27"/>
        <v>#DIV/0!</v>
      </c>
      <c r="T141" s="78">
        <f>IF(K141="NV","",IF(VLOOKUP(M141,'R_Häufigkeit_Faktoren UHR'!$B$4:$I$24,8,FALSE)=0,"",VLOOKUP(M141,'R_Häufigkeit_Faktoren UHR'!$B$4:$I$24,8,FALSE)))</f>
        <v>4.333333333333333</v>
      </c>
      <c r="U141" s="156">
        <f t="shared" si="28"/>
        <v>43.766666666666659</v>
      </c>
      <c r="V141" s="427"/>
      <c r="W141" s="12">
        <f>IF(T141="","",VLOOKUP(J141,Raumgruppen_Leistungswerte!$B$5:$F$35,5,FALSE))</f>
        <v>0</v>
      </c>
      <c r="X141" s="156" t="e">
        <f t="shared" si="29"/>
        <v>#DIV/0!</v>
      </c>
      <c r="Y141" s="446" t="e">
        <f t="shared" si="30"/>
        <v>#DIV/0!</v>
      </c>
      <c r="Z141" s="158">
        <f t="shared" si="31"/>
        <v>350.97499999999997</v>
      </c>
      <c r="AA141" s="23" t="e">
        <f t="shared" si="32"/>
        <v>#DIV/0!</v>
      </c>
      <c r="AB141" s="445" t="e">
        <f t="shared" si="33"/>
        <v>#DIV/0!</v>
      </c>
      <c r="AC141" s="123"/>
    </row>
    <row r="142" spans="1:29" ht="12" customHeight="1">
      <c r="A142" s="11">
        <v>138</v>
      </c>
      <c r="B142" s="12" t="s">
        <v>367</v>
      </c>
      <c r="C142" s="17">
        <v>3</v>
      </c>
      <c r="D142" s="19" t="s">
        <v>367</v>
      </c>
      <c r="E142" s="17">
        <v>1</v>
      </c>
      <c r="F142" s="18" t="s">
        <v>424</v>
      </c>
      <c r="G142" s="319">
        <v>5.8</v>
      </c>
      <c r="H142" s="19" t="s">
        <v>425</v>
      </c>
      <c r="I142" s="20" t="s">
        <v>282</v>
      </c>
      <c r="J142" s="21" t="s">
        <v>1</v>
      </c>
      <c r="K142" s="12" t="s">
        <v>14</v>
      </c>
      <c r="L142" s="319">
        <f t="shared" si="24"/>
        <v>5.8</v>
      </c>
      <c r="M142" s="22">
        <v>7</v>
      </c>
      <c r="N142" s="79">
        <f>IF(K142="NV","",IF(VLOOKUP(M142,'R_Häufigkeit_Faktoren UHR'!$B$4:$I$24,7,FALSE)=0,"",VLOOKUP(M142,'R_Häufigkeit_Faktoren UHR'!$B$4:$I$24,7,FALSE)))</f>
        <v>30.416666666666668</v>
      </c>
      <c r="O142" s="3">
        <f t="shared" si="25"/>
        <v>176.41666666666666</v>
      </c>
      <c r="P142" s="325"/>
      <c r="Q142" s="156">
        <f>IF(N142="","",VLOOKUP(J142,Raumgruppen_Leistungswerte!$B$5:$F$35,5,FALSE))</f>
        <v>0</v>
      </c>
      <c r="R142" s="157" t="e">
        <f t="shared" si="26"/>
        <v>#DIV/0!</v>
      </c>
      <c r="S142" s="445" t="e">
        <f t="shared" si="27"/>
        <v>#DIV/0!</v>
      </c>
      <c r="T142" s="78">
        <f>IF(K142="NV","",IF(VLOOKUP(M142,'R_Häufigkeit_Faktoren UHR'!$B$4:$I$24,8,FALSE)=0,"",VLOOKUP(M142,'R_Häufigkeit_Faktoren UHR'!$B$4:$I$24,8,FALSE)))</f>
        <v>4.333333333333333</v>
      </c>
      <c r="U142" s="156">
        <f t="shared" si="28"/>
        <v>25.133333333333329</v>
      </c>
      <c r="V142" s="427"/>
      <c r="W142" s="12">
        <f>IF(T142="","",VLOOKUP(J142,Raumgruppen_Leistungswerte!$B$5:$F$35,5,FALSE))</f>
        <v>0</v>
      </c>
      <c r="X142" s="156" t="e">
        <f t="shared" si="29"/>
        <v>#DIV/0!</v>
      </c>
      <c r="Y142" s="446" t="e">
        <f t="shared" si="30"/>
        <v>#DIV/0!</v>
      </c>
      <c r="Z142" s="158">
        <f t="shared" si="31"/>
        <v>201.54999999999998</v>
      </c>
      <c r="AA142" s="23" t="e">
        <f t="shared" si="32"/>
        <v>#DIV/0!</v>
      </c>
      <c r="AB142" s="445" t="e">
        <f t="shared" si="33"/>
        <v>#DIV/0!</v>
      </c>
      <c r="AC142" s="123"/>
    </row>
    <row r="143" spans="1:29" ht="12" customHeight="1">
      <c r="A143" s="11">
        <v>139</v>
      </c>
      <c r="B143" s="12" t="s">
        <v>367</v>
      </c>
      <c r="C143" s="17">
        <v>3</v>
      </c>
      <c r="D143" s="19" t="s">
        <v>367</v>
      </c>
      <c r="E143" s="17">
        <v>1</v>
      </c>
      <c r="F143" s="18" t="s">
        <v>404</v>
      </c>
      <c r="G143" s="319">
        <v>3.6</v>
      </c>
      <c r="H143" s="19" t="s">
        <v>405</v>
      </c>
      <c r="I143" s="14" t="s">
        <v>282</v>
      </c>
      <c r="J143" s="21" t="s">
        <v>1</v>
      </c>
      <c r="K143" s="12" t="s">
        <v>14</v>
      </c>
      <c r="L143" s="319">
        <f t="shared" si="24"/>
        <v>3.6</v>
      </c>
      <c r="M143" s="22">
        <v>7</v>
      </c>
      <c r="N143" s="79">
        <f>IF(K143="NV","",IF(VLOOKUP(M143,'R_Häufigkeit_Faktoren UHR'!$B$4:$I$24,7,FALSE)=0,"",VLOOKUP(M143,'R_Häufigkeit_Faktoren UHR'!$B$4:$I$24,7,FALSE)))</f>
        <v>30.416666666666668</v>
      </c>
      <c r="O143" s="3">
        <f t="shared" si="25"/>
        <v>109.5</v>
      </c>
      <c r="P143" s="325"/>
      <c r="Q143" s="156">
        <f>IF(N143="","",VLOOKUP(J143,Raumgruppen_Leistungswerte!$B$5:$F$35,5,FALSE))</f>
        <v>0</v>
      </c>
      <c r="R143" s="157" t="e">
        <f t="shared" si="26"/>
        <v>#DIV/0!</v>
      </c>
      <c r="S143" s="445" t="e">
        <f t="shared" si="27"/>
        <v>#DIV/0!</v>
      </c>
      <c r="T143" s="78">
        <f>IF(K143="NV","",IF(VLOOKUP(M143,'R_Häufigkeit_Faktoren UHR'!$B$4:$I$24,8,FALSE)=0,"",VLOOKUP(M143,'R_Häufigkeit_Faktoren UHR'!$B$4:$I$24,8,FALSE)))</f>
        <v>4.333333333333333</v>
      </c>
      <c r="U143" s="156">
        <f t="shared" si="28"/>
        <v>15.6</v>
      </c>
      <c r="V143" s="427"/>
      <c r="W143" s="12">
        <f>IF(T143="","",VLOOKUP(J143,Raumgruppen_Leistungswerte!$B$5:$F$35,5,FALSE))</f>
        <v>0</v>
      </c>
      <c r="X143" s="156" t="e">
        <f t="shared" si="29"/>
        <v>#DIV/0!</v>
      </c>
      <c r="Y143" s="446" t="e">
        <f t="shared" si="30"/>
        <v>#DIV/0!</v>
      </c>
      <c r="Z143" s="158">
        <f t="shared" si="31"/>
        <v>125.1</v>
      </c>
      <c r="AA143" s="23" t="e">
        <f t="shared" si="32"/>
        <v>#DIV/0!</v>
      </c>
      <c r="AB143" s="445" t="e">
        <f t="shared" si="33"/>
        <v>#DIV/0!</v>
      </c>
      <c r="AC143" s="123"/>
    </row>
    <row r="144" spans="1:29" ht="12" customHeight="1">
      <c r="A144" s="11">
        <v>140</v>
      </c>
      <c r="B144" s="12" t="s">
        <v>367</v>
      </c>
      <c r="C144" s="17">
        <v>3</v>
      </c>
      <c r="D144" s="19" t="s">
        <v>416</v>
      </c>
      <c r="E144" s="17">
        <v>1</v>
      </c>
      <c r="F144" s="18" t="s">
        <v>423</v>
      </c>
      <c r="G144" s="319">
        <v>10.6</v>
      </c>
      <c r="H144" s="19" t="s">
        <v>418</v>
      </c>
      <c r="I144" s="14" t="s">
        <v>383</v>
      </c>
      <c r="J144" s="15" t="s">
        <v>121</v>
      </c>
      <c r="K144" s="12" t="s">
        <v>173</v>
      </c>
      <c r="L144" s="319" t="str">
        <f t="shared" si="24"/>
        <v/>
      </c>
      <c r="M144" s="22"/>
      <c r="N144" s="79" t="str">
        <f>IF(K144="NV","",IF(VLOOKUP(M144,'R_Häufigkeit_Faktoren UHR'!$B$4:$I$24,7,FALSE)=0,"",VLOOKUP(M144,'R_Häufigkeit_Faktoren UHR'!$B$4:$I$24,7,FALSE)))</f>
        <v/>
      </c>
      <c r="O144" s="3" t="str">
        <f t="shared" si="25"/>
        <v/>
      </c>
      <c r="P144" s="325"/>
      <c r="Q144" s="156" t="str">
        <f>IF(N144="","",VLOOKUP(J144,Raumgruppen_Leistungswerte!$B$5:$F$35,5,FALSE))</f>
        <v/>
      </c>
      <c r="R144" s="157" t="str">
        <f t="shared" si="26"/>
        <v/>
      </c>
      <c r="S144" s="445" t="str">
        <f t="shared" si="27"/>
        <v/>
      </c>
      <c r="T144" s="78" t="str">
        <f>IF(K144="NV","",IF(VLOOKUP(M144,'R_Häufigkeit_Faktoren UHR'!$B$4:$I$24,8,FALSE)=0,"",VLOOKUP(M144,'R_Häufigkeit_Faktoren UHR'!$B$4:$I$24,8,FALSE)))</f>
        <v/>
      </c>
      <c r="U144" s="156" t="str">
        <f t="shared" si="28"/>
        <v/>
      </c>
      <c r="V144" s="427"/>
      <c r="W144" s="12" t="str">
        <f>IF(T144="","",VLOOKUP(J144,Raumgruppen_Leistungswerte!$B$5:$F$35,5,FALSE))</f>
        <v/>
      </c>
      <c r="X144" s="156" t="str">
        <f t="shared" si="29"/>
        <v/>
      </c>
      <c r="Y144" s="446" t="str">
        <f t="shared" si="30"/>
        <v/>
      </c>
      <c r="Z144" s="158" t="str">
        <f t="shared" si="31"/>
        <v/>
      </c>
      <c r="AA144" s="23" t="str">
        <f t="shared" si="32"/>
        <v/>
      </c>
      <c r="AB144" s="445" t="str">
        <f t="shared" si="33"/>
        <v/>
      </c>
      <c r="AC144" s="123"/>
    </row>
    <row r="145" spans="1:29" ht="12" customHeight="1">
      <c r="A145" s="11">
        <v>141</v>
      </c>
      <c r="B145" s="12" t="s">
        <v>367</v>
      </c>
      <c r="C145" s="17">
        <v>3</v>
      </c>
      <c r="D145" s="19" t="s">
        <v>287</v>
      </c>
      <c r="E145" s="17">
        <v>1</v>
      </c>
      <c r="F145" s="18" t="s">
        <v>417</v>
      </c>
      <c r="G145" s="319">
        <v>4.7</v>
      </c>
      <c r="H145" s="19" t="s">
        <v>444</v>
      </c>
      <c r="I145" s="14" t="s">
        <v>383</v>
      </c>
      <c r="J145" s="21" t="s">
        <v>121</v>
      </c>
      <c r="K145" s="12" t="s">
        <v>173</v>
      </c>
      <c r="L145" s="319" t="str">
        <f t="shared" si="24"/>
        <v/>
      </c>
      <c r="M145" s="22"/>
      <c r="N145" s="79" t="str">
        <f>IF(K145="NV","",IF(VLOOKUP(M145,'R_Häufigkeit_Faktoren UHR'!$B$4:$I$24,7,FALSE)=0,"",VLOOKUP(M145,'R_Häufigkeit_Faktoren UHR'!$B$4:$I$24,7,FALSE)))</f>
        <v/>
      </c>
      <c r="O145" s="3" t="str">
        <f t="shared" si="25"/>
        <v/>
      </c>
      <c r="P145" s="325"/>
      <c r="Q145" s="156" t="str">
        <f>IF(N145="","",VLOOKUP(J145,Raumgruppen_Leistungswerte!$B$5:$F$35,5,FALSE))</f>
        <v/>
      </c>
      <c r="R145" s="157" t="str">
        <f t="shared" si="26"/>
        <v/>
      </c>
      <c r="S145" s="445" t="str">
        <f t="shared" si="27"/>
        <v/>
      </c>
      <c r="T145" s="78" t="str">
        <f>IF(K145="NV","",IF(VLOOKUP(M145,'R_Häufigkeit_Faktoren UHR'!$B$4:$I$24,8,FALSE)=0,"",VLOOKUP(M145,'R_Häufigkeit_Faktoren UHR'!$B$4:$I$24,8,FALSE)))</f>
        <v/>
      </c>
      <c r="U145" s="156" t="str">
        <f t="shared" si="28"/>
        <v/>
      </c>
      <c r="V145" s="427"/>
      <c r="W145" s="12" t="str">
        <f>IF(T145="","",VLOOKUP(J145,Raumgruppen_Leistungswerte!$B$5:$F$35,5,FALSE))</f>
        <v/>
      </c>
      <c r="X145" s="156" t="str">
        <f t="shared" si="29"/>
        <v/>
      </c>
      <c r="Y145" s="446" t="str">
        <f t="shared" si="30"/>
        <v/>
      </c>
      <c r="Z145" s="158" t="str">
        <f t="shared" si="31"/>
        <v/>
      </c>
      <c r="AA145" s="23" t="str">
        <f t="shared" si="32"/>
        <v/>
      </c>
      <c r="AB145" s="445" t="str">
        <f t="shared" si="33"/>
        <v/>
      </c>
      <c r="AC145" s="123"/>
    </row>
    <row r="146" spans="1:29" ht="12" customHeight="1">
      <c r="A146" s="11">
        <v>142</v>
      </c>
      <c r="B146" s="12" t="s">
        <v>367</v>
      </c>
      <c r="C146" s="17">
        <v>3</v>
      </c>
      <c r="D146" s="19" t="s">
        <v>367</v>
      </c>
      <c r="E146" s="17">
        <v>1</v>
      </c>
      <c r="F146" s="18" t="s">
        <v>407</v>
      </c>
      <c r="G146" s="319">
        <v>1.9</v>
      </c>
      <c r="H146" s="19" t="s">
        <v>428</v>
      </c>
      <c r="I146" s="20" t="s">
        <v>282</v>
      </c>
      <c r="J146" s="21" t="s">
        <v>251</v>
      </c>
      <c r="K146" s="12" t="s">
        <v>14</v>
      </c>
      <c r="L146" s="319">
        <f t="shared" si="24"/>
        <v>1.9</v>
      </c>
      <c r="M146" s="22">
        <v>1</v>
      </c>
      <c r="N146" s="79">
        <f>IF(K146="NV","",IF(VLOOKUP(M146,'R_Häufigkeit_Faktoren UHR'!$B$4:$I$24,7,FALSE)=0,"",VLOOKUP(M146,'R_Häufigkeit_Faktoren UHR'!$B$4:$I$24,7,FALSE)))</f>
        <v>4.3452380952380958</v>
      </c>
      <c r="O146" s="3">
        <f t="shared" si="25"/>
        <v>8.2559523809523814</v>
      </c>
      <c r="P146" s="325"/>
      <c r="Q146" s="156">
        <f>IF(N146="","",VLOOKUP(J146,Raumgruppen_Leistungswerte!$B$5:$F$35,5,FALSE))</f>
        <v>0</v>
      </c>
      <c r="R146" s="157" t="e">
        <f t="shared" si="26"/>
        <v>#DIV/0!</v>
      </c>
      <c r="S146" s="445" t="e">
        <f t="shared" si="27"/>
        <v>#DIV/0!</v>
      </c>
      <c r="T146" s="78" t="str">
        <f>IF(K146="NV","",IF(VLOOKUP(M146,'R_Häufigkeit_Faktoren UHR'!$B$4:$I$24,8,FALSE)=0,"",VLOOKUP(M146,'R_Häufigkeit_Faktoren UHR'!$B$4:$I$24,8,FALSE)))</f>
        <v/>
      </c>
      <c r="U146" s="156" t="str">
        <f t="shared" si="28"/>
        <v/>
      </c>
      <c r="V146" s="427"/>
      <c r="W146" s="12" t="str">
        <f>IF(T146="","",VLOOKUP(J146,Raumgruppen_Leistungswerte!$B$5:$F$35,5,FALSE))</f>
        <v/>
      </c>
      <c r="X146" s="156" t="str">
        <f t="shared" si="29"/>
        <v/>
      </c>
      <c r="Y146" s="446" t="str">
        <f t="shared" si="30"/>
        <v/>
      </c>
      <c r="Z146" s="158">
        <f t="shared" si="31"/>
        <v>8.2559523809523814</v>
      </c>
      <c r="AA146" s="23" t="e">
        <f t="shared" si="32"/>
        <v>#DIV/0!</v>
      </c>
      <c r="AB146" s="445" t="e">
        <f t="shared" si="33"/>
        <v>#DIV/0!</v>
      </c>
      <c r="AC146" s="123"/>
    </row>
    <row r="147" spans="1:29" ht="12" customHeight="1">
      <c r="A147" s="11">
        <v>143</v>
      </c>
      <c r="B147" s="12" t="s">
        <v>367</v>
      </c>
      <c r="C147" s="17">
        <v>3</v>
      </c>
      <c r="D147" s="19" t="s">
        <v>272</v>
      </c>
      <c r="E147" s="17">
        <v>1</v>
      </c>
      <c r="F147" s="18" t="s">
        <v>388</v>
      </c>
      <c r="G147" s="319">
        <v>34.700000000000003</v>
      </c>
      <c r="H147" s="19" t="s">
        <v>365</v>
      </c>
      <c r="I147" s="20" t="s">
        <v>335</v>
      </c>
      <c r="J147" s="21" t="s">
        <v>240</v>
      </c>
      <c r="K147" s="12" t="s">
        <v>14</v>
      </c>
      <c r="L147" s="319">
        <f t="shared" si="24"/>
        <v>34.700000000000003</v>
      </c>
      <c r="M147" s="22">
        <v>3</v>
      </c>
      <c r="N147" s="79">
        <f>IF(K147="NV","",IF(VLOOKUP(M147,'R_Häufigkeit_Faktoren UHR'!$B$4:$I$24,7,FALSE)=0,"",VLOOKUP(M147,'R_Häufigkeit_Faktoren UHR'!$B$4:$I$24,7,FALSE)))</f>
        <v>13.035714285714286</v>
      </c>
      <c r="O147" s="3">
        <f t="shared" si="25"/>
        <v>452.33928571428578</v>
      </c>
      <c r="P147" s="325"/>
      <c r="Q147" s="156">
        <f>IF(N147="","",VLOOKUP(J147,Raumgruppen_Leistungswerte!$B$5:$F$35,5,FALSE))</f>
        <v>0</v>
      </c>
      <c r="R147" s="157" t="e">
        <f t="shared" si="26"/>
        <v>#DIV/0!</v>
      </c>
      <c r="S147" s="445" t="e">
        <f t="shared" si="27"/>
        <v>#DIV/0!</v>
      </c>
      <c r="T147" s="78" t="str">
        <f>IF(K147="NV","",IF(VLOOKUP(M147,'R_Häufigkeit_Faktoren UHR'!$B$4:$I$24,8,FALSE)=0,"",VLOOKUP(M147,'R_Häufigkeit_Faktoren UHR'!$B$4:$I$24,8,FALSE)))</f>
        <v/>
      </c>
      <c r="U147" s="156" t="str">
        <f t="shared" si="28"/>
        <v/>
      </c>
      <c r="V147" s="427"/>
      <c r="W147" s="12" t="str">
        <f>IF(T147="","",VLOOKUP(J147,Raumgruppen_Leistungswerte!$B$5:$F$35,5,FALSE))</f>
        <v/>
      </c>
      <c r="X147" s="156" t="str">
        <f t="shared" si="29"/>
        <v/>
      </c>
      <c r="Y147" s="446" t="str">
        <f t="shared" si="30"/>
        <v/>
      </c>
      <c r="Z147" s="158">
        <f t="shared" si="31"/>
        <v>452.33928571428578</v>
      </c>
      <c r="AA147" s="23" t="e">
        <f t="shared" si="32"/>
        <v>#DIV/0!</v>
      </c>
      <c r="AB147" s="445" t="e">
        <f t="shared" si="33"/>
        <v>#DIV/0!</v>
      </c>
      <c r="AC147" s="123"/>
    </row>
    <row r="148" spans="1:29" ht="12" customHeight="1">
      <c r="A148" s="11">
        <v>144</v>
      </c>
      <c r="B148" s="12" t="s">
        <v>367</v>
      </c>
      <c r="C148" s="17">
        <v>3</v>
      </c>
      <c r="D148" s="19" t="s">
        <v>272</v>
      </c>
      <c r="E148" s="17">
        <v>1</v>
      </c>
      <c r="F148" s="18" t="s">
        <v>333</v>
      </c>
      <c r="G148" s="319">
        <v>21.5</v>
      </c>
      <c r="H148" s="19" t="s">
        <v>365</v>
      </c>
      <c r="I148" s="20" t="s">
        <v>335</v>
      </c>
      <c r="J148" s="21" t="s">
        <v>240</v>
      </c>
      <c r="K148" s="12" t="s">
        <v>14</v>
      </c>
      <c r="L148" s="319">
        <f t="shared" si="24"/>
        <v>21.5</v>
      </c>
      <c r="M148" s="22">
        <v>3</v>
      </c>
      <c r="N148" s="79">
        <f>IF(K148="NV","",IF(VLOOKUP(M148,'R_Häufigkeit_Faktoren UHR'!$B$4:$I$24,7,FALSE)=0,"",VLOOKUP(M148,'R_Häufigkeit_Faktoren UHR'!$B$4:$I$24,7,FALSE)))</f>
        <v>13.035714285714286</v>
      </c>
      <c r="O148" s="3">
        <f t="shared" si="25"/>
        <v>280.26785714285717</v>
      </c>
      <c r="P148" s="325"/>
      <c r="Q148" s="156">
        <f>IF(N148="","",VLOOKUP(J148,Raumgruppen_Leistungswerte!$B$5:$F$35,5,FALSE))</f>
        <v>0</v>
      </c>
      <c r="R148" s="157" t="e">
        <f t="shared" si="26"/>
        <v>#DIV/0!</v>
      </c>
      <c r="S148" s="445" t="e">
        <f t="shared" si="27"/>
        <v>#DIV/0!</v>
      </c>
      <c r="T148" s="78" t="str">
        <f>IF(K148="NV","",IF(VLOOKUP(M148,'R_Häufigkeit_Faktoren UHR'!$B$4:$I$24,8,FALSE)=0,"",VLOOKUP(M148,'R_Häufigkeit_Faktoren UHR'!$B$4:$I$24,8,FALSE)))</f>
        <v/>
      </c>
      <c r="U148" s="156" t="str">
        <f t="shared" si="28"/>
        <v/>
      </c>
      <c r="V148" s="427"/>
      <c r="W148" s="12" t="str">
        <f>IF(T148="","",VLOOKUP(J148,Raumgruppen_Leistungswerte!$B$5:$F$35,5,FALSE))</f>
        <v/>
      </c>
      <c r="X148" s="156" t="str">
        <f t="shared" si="29"/>
        <v/>
      </c>
      <c r="Y148" s="446" t="str">
        <f t="shared" si="30"/>
        <v/>
      </c>
      <c r="Z148" s="158">
        <f t="shared" si="31"/>
        <v>280.26785714285717</v>
      </c>
      <c r="AA148" s="23" t="e">
        <f t="shared" si="32"/>
        <v>#DIV/0!</v>
      </c>
      <c r="AB148" s="445" t="e">
        <f t="shared" si="33"/>
        <v>#DIV/0!</v>
      </c>
      <c r="AC148" s="123"/>
    </row>
    <row r="149" spans="1:29" ht="12" customHeight="1">
      <c r="A149" s="11">
        <v>145</v>
      </c>
      <c r="B149" s="12" t="s">
        <v>367</v>
      </c>
      <c r="C149" s="17">
        <v>3</v>
      </c>
      <c r="D149" s="19" t="s">
        <v>287</v>
      </c>
      <c r="E149" s="17">
        <v>1</v>
      </c>
      <c r="F149" s="18" t="s">
        <v>336</v>
      </c>
      <c r="G149" s="319">
        <v>6.1</v>
      </c>
      <c r="H149" s="19" t="s">
        <v>337</v>
      </c>
      <c r="I149" s="20" t="s">
        <v>335</v>
      </c>
      <c r="J149" s="21" t="s">
        <v>242</v>
      </c>
      <c r="K149" s="12" t="s">
        <v>14</v>
      </c>
      <c r="L149" s="319">
        <f t="shared" si="24"/>
        <v>6.1</v>
      </c>
      <c r="M149" s="22">
        <v>5</v>
      </c>
      <c r="N149" s="79">
        <f>IF(K149="NV","",IF(VLOOKUP(M149,'R_Häufigkeit_Faktoren UHR'!$B$4:$I$24,7,FALSE)=0,"",VLOOKUP(M149,'R_Häufigkeit_Faktoren UHR'!$B$4:$I$24,7,FALSE)))</f>
        <v>20.917857142857144</v>
      </c>
      <c r="O149" s="3">
        <f t="shared" si="25"/>
        <v>127.59892857142857</v>
      </c>
      <c r="P149" s="325"/>
      <c r="Q149" s="156">
        <f>IF(N149="","",VLOOKUP(J149,Raumgruppen_Leistungswerte!$B$5:$F$35,5,FALSE))</f>
        <v>0</v>
      </c>
      <c r="R149" s="157" t="e">
        <f t="shared" si="26"/>
        <v>#DIV/0!</v>
      </c>
      <c r="S149" s="445" t="e">
        <f t="shared" si="27"/>
        <v>#DIV/0!</v>
      </c>
      <c r="T149" s="78" t="str">
        <f>IF(K149="NV","",IF(VLOOKUP(M149,'R_Häufigkeit_Faktoren UHR'!$B$4:$I$24,8,FALSE)=0,"",VLOOKUP(M149,'R_Häufigkeit_Faktoren UHR'!$B$4:$I$24,8,FALSE)))</f>
        <v/>
      </c>
      <c r="U149" s="156" t="str">
        <f t="shared" si="28"/>
        <v/>
      </c>
      <c r="V149" s="427"/>
      <c r="W149" s="12" t="str">
        <f>IF(T149="","",VLOOKUP(J149,Raumgruppen_Leistungswerte!$B$5:$F$35,5,FALSE))</f>
        <v/>
      </c>
      <c r="X149" s="156" t="str">
        <f t="shared" si="29"/>
        <v/>
      </c>
      <c r="Y149" s="446" t="str">
        <f t="shared" si="30"/>
        <v/>
      </c>
      <c r="Z149" s="158">
        <f t="shared" si="31"/>
        <v>127.59892857142857</v>
      </c>
      <c r="AA149" s="23" t="e">
        <f t="shared" si="32"/>
        <v>#DIV/0!</v>
      </c>
      <c r="AB149" s="445" t="e">
        <f t="shared" si="33"/>
        <v>#DIV/0!</v>
      </c>
      <c r="AC149" s="123"/>
    </row>
    <row r="150" spans="1:29" ht="12" customHeight="1">
      <c r="A150" s="11">
        <v>146</v>
      </c>
      <c r="B150" s="12" t="s">
        <v>367</v>
      </c>
      <c r="C150" s="17">
        <v>3</v>
      </c>
      <c r="D150" s="19" t="s">
        <v>272</v>
      </c>
      <c r="E150" s="17">
        <v>1</v>
      </c>
      <c r="F150" s="18" t="s">
        <v>338</v>
      </c>
      <c r="G150" s="319">
        <v>17.399999999999999</v>
      </c>
      <c r="H150" s="19" t="s">
        <v>389</v>
      </c>
      <c r="I150" s="20" t="s">
        <v>335</v>
      </c>
      <c r="J150" s="21" t="s">
        <v>238</v>
      </c>
      <c r="K150" s="12" t="s">
        <v>14</v>
      </c>
      <c r="L150" s="319">
        <f t="shared" si="24"/>
        <v>17.399999999999999</v>
      </c>
      <c r="M150" s="22">
        <v>5</v>
      </c>
      <c r="N150" s="79">
        <f>IF(K150="NV","",IF(VLOOKUP(M150,'R_Häufigkeit_Faktoren UHR'!$B$4:$I$24,7,FALSE)=0,"",VLOOKUP(M150,'R_Häufigkeit_Faktoren UHR'!$B$4:$I$24,7,FALSE)))</f>
        <v>20.917857142857144</v>
      </c>
      <c r="O150" s="3">
        <f t="shared" si="25"/>
        <v>363.97071428571428</v>
      </c>
      <c r="P150" s="325"/>
      <c r="Q150" s="156">
        <f>IF(N150="","",VLOOKUP(J150,Raumgruppen_Leistungswerte!$B$5:$F$35,5,FALSE))</f>
        <v>0</v>
      </c>
      <c r="R150" s="157" t="e">
        <f t="shared" si="26"/>
        <v>#DIV/0!</v>
      </c>
      <c r="S150" s="445" t="e">
        <f t="shared" si="27"/>
        <v>#DIV/0!</v>
      </c>
      <c r="T150" s="78" t="str">
        <f>IF(K150="NV","",IF(VLOOKUP(M150,'R_Häufigkeit_Faktoren UHR'!$B$4:$I$24,8,FALSE)=0,"",VLOOKUP(M150,'R_Häufigkeit_Faktoren UHR'!$B$4:$I$24,8,FALSE)))</f>
        <v/>
      </c>
      <c r="U150" s="156" t="str">
        <f t="shared" si="28"/>
        <v/>
      </c>
      <c r="V150" s="427"/>
      <c r="W150" s="12" t="str">
        <f>IF(T150="","",VLOOKUP(J150,Raumgruppen_Leistungswerte!$B$5:$F$35,5,FALSE))</f>
        <v/>
      </c>
      <c r="X150" s="156" t="str">
        <f t="shared" si="29"/>
        <v/>
      </c>
      <c r="Y150" s="446" t="str">
        <f t="shared" si="30"/>
        <v/>
      </c>
      <c r="Z150" s="158">
        <f t="shared" si="31"/>
        <v>363.97071428571428</v>
      </c>
      <c r="AA150" s="23" t="e">
        <f t="shared" si="32"/>
        <v>#DIV/0!</v>
      </c>
      <c r="AB150" s="445" t="e">
        <f t="shared" si="33"/>
        <v>#DIV/0!</v>
      </c>
      <c r="AC150" s="123"/>
    </row>
    <row r="151" spans="1:29" ht="12" customHeight="1">
      <c r="A151" s="11">
        <v>147</v>
      </c>
      <c r="B151" s="12" t="s">
        <v>367</v>
      </c>
      <c r="C151" s="17">
        <v>3</v>
      </c>
      <c r="D151" s="19" t="s">
        <v>445</v>
      </c>
      <c r="E151" s="17">
        <v>1</v>
      </c>
      <c r="F151" s="18" t="s">
        <v>446</v>
      </c>
      <c r="G151" s="319">
        <v>84.4</v>
      </c>
      <c r="H151" s="19" t="s">
        <v>447</v>
      </c>
      <c r="I151" s="20" t="s">
        <v>371</v>
      </c>
      <c r="J151" s="15" t="s">
        <v>219</v>
      </c>
      <c r="K151" s="12" t="s">
        <v>14</v>
      </c>
      <c r="L151" s="319">
        <f t="shared" si="24"/>
        <v>84.4</v>
      </c>
      <c r="M151" s="22">
        <v>2</v>
      </c>
      <c r="N151" s="79">
        <f>IF(K151="NV","",IF(VLOOKUP(M151,'R_Häufigkeit_Faktoren UHR'!$B$4:$I$24,7,FALSE)=0,"",VLOOKUP(M151,'R_Häufigkeit_Faktoren UHR'!$B$4:$I$24,7,FALSE)))</f>
        <v>8.6904761904761916</v>
      </c>
      <c r="O151" s="3">
        <f t="shared" si="25"/>
        <v>733.4761904761906</v>
      </c>
      <c r="P151" s="325"/>
      <c r="Q151" s="156">
        <f>IF(N151="","",VLOOKUP(J151,Raumgruppen_Leistungswerte!$B$5:$F$35,5,FALSE))</f>
        <v>0</v>
      </c>
      <c r="R151" s="157" t="e">
        <f t="shared" si="26"/>
        <v>#DIV/0!</v>
      </c>
      <c r="S151" s="445" t="e">
        <f t="shared" si="27"/>
        <v>#DIV/0!</v>
      </c>
      <c r="T151" s="78" t="str">
        <f>IF(K151="NV","",IF(VLOOKUP(M151,'R_Häufigkeit_Faktoren UHR'!$B$4:$I$24,8,FALSE)=0,"",VLOOKUP(M151,'R_Häufigkeit_Faktoren UHR'!$B$4:$I$24,8,FALSE)))</f>
        <v/>
      </c>
      <c r="U151" s="156" t="str">
        <f t="shared" si="28"/>
        <v/>
      </c>
      <c r="V151" s="427"/>
      <c r="W151" s="12" t="str">
        <f>IF(T151="","",VLOOKUP(J151,Raumgruppen_Leistungswerte!$B$5:$F$35,5,FALSE))</f>
        <v/>
      </c>
      <c r="X151" s="156" t="str">
        <f t="shared" si="29"/>
        <v/>
      </c>
      <c r="Y151" s="446" t="str">
        <f t="shared" si="30"/>
        <v/>
      </c>
      <c r="Z151" s="158">
        <f t="shared" si="31"/>
        <v>733.4761904761906</v>
      </c>
      <c r="AA151" s="23" t="e">
        <f t="shared" si="32"/>
        <v>#DIV/0!</v>
      </c>
      <c r="AB151" s="445" t="e">
        <f t="shared" si="33"/>
        <v>#DIV/0!</v>
      </c>
      <c r="AC151" s="123"/>
    </row>
    <row r="152" spans="1:29" ht="12" customHeight="1">
      <c r="A152" s="11">
        <v>148</v>
      </c>
      <c r="B152" s="12" t="s">
        <v>367</v>
      </c>
      <c r="C152" s="17">
        <v>3</v>
      </c>
      <c r="D152" s="19" t="s">
        <v>367</v>
      </c>
      <c r="E152" s="17">
        <v>1</v>
      </c>
      <c r="F152" s="18" t="s">
        <v>448</v>
      </c>
      <c r="G152" s="319">
        <v>18.2</v>
      </c>
      <c r="H152" s="19" t="s">
        <v>410</v>
      </c>
      <c r="I152" s="20" t="s">
        <v>371</v>
      </c>
      <c r="J152" s="21" t="s">
        <v>176</v>
      </c>
      <c r="K152" s="12" t="s">
        <v>14</v>
      </c>
      <c r="L152" s="319">
        <f t="shared" si="24"/>
        <v>18.2</v>
      </c>
      <c r="M152" s="22">
        <v>1</v>
      </c>
      <c r="N152" s="79">
        <f>IF(K152="NV","",IF(VLOOKUP(M152,'R_Häufigkeit_Faktoren UHR'!$B$4:$I$24,7,FALSE)=0,"",VLOOKUP(M152,'R_Häufigkeit_Faktoren UHR'!$B$4:$I$24,7,FALSE)))</f>
        <v>4.3452380952380958</v>
      </c>
      <c r="O152" s="3">
        <f t="shared" si="25"/>
        <v>79.083333333333343</v>
      </c>
      <c r="P152" s="325"/>
      <c r="Q152" s="156">
        <f>IF(N152="","",VLOOKUP(J152,Raumgruppen_Leistungswerte!$B$5:$F$35,5,FALSE))</f>
        <v>0</v>
      </c>
      <c r="R152" s="157" t="e">
        <f t="shared" si="26"/>
        <v>#DIV/0!</v>
      </c>
      <c r="S152" s="445" t="e">
        <f t="shared" si="27"/>
        <v>#DIV/0!</v>
      </c>
      <c r="T152" s="78" t="str">
        <f>IF(K152="NV","",IF(VLOOKUP(M152,'R_Häufigkeit_Faktoren UHR'!$B$4:$I$24,8,FALSE)=0,"",VLOOKUP(M152,'R_Häufigkeit_Faktoren UHR'!$B$4:$I$24,8,FALSE)))</f>
        <v/>
      </c>
      <c r="U152" s="156" t="str">
        <f t="shared" si="28"/>
        <v/>
      </c>
      <c r="V152" s="427"/>
      <c r="W152" s="12" t="str">
        <f>IF(T152="","",VLOOKUP(J152,Raumgruppen_Leistungswerte!$B$5:$F$35,5,FALSE))</f>
        <v/>
      </c>
      <c r="X152" s="156" t="str">
        <f t="shared" si="29"/>
        <v/>
      </c>
      <c r="Y152" s="446" t="str">
        <f t="shared" si="30"/>
        <v/>
      </c>
      <c r="Z152" s="158">
        <f t="shared" si="31"/>
        <v>79.083333333333343</v>
      </c>
      <c r="AA152" s="23" t="e">
        <f t="shared" si="32"/>
        <v>#DIV/0!</v>
      </c>
      <c r="AB152" s="445" t="e">
        <f t="shared" si="33"/>
        <v>#DIV/0!</v>
      </c>
      <c r="AC152" s="123"/>
    </row>
    <row r="153" spans="1:29" ht="12" customHeight="1">
      <c r="A153" s="11">
        <v>149</v>
      </c>
      <c r="B153" s="12" t="s">
        <v>367</v>
      </c>
      <c r="C153" s="17">
        <v>3</v>
      </c>
      <c r="D153" s="19" t="s">
        <v>367</v>
      </c>
      <c r="E153" s="17">
        <v>1</v>
      </c>
      <c r="F153" s="18" t="s">
        <v>449</v>
      </c>
      <c r="G153" s="319">
        <v>18.3</v>
      </c>
      <c r="H153" s="19" t="s">
        <v>410</v>
      </c>
      <c r="I153" s="20" t="s">
        <v>371</v>
      </c>
      <c r="J153" s="21" t="s">
        <v>176</v>
      </c>
      <c r="K153" s="12" t="s">
        <v>14</v>
      </c>
      <c r="L153" s="319">
        <f t="shared" si="24"/>
        <v>18.3</v>
      </c>
      <c r="M153" s="22">
        <v>1</v>
      </c>
      <c r="N153" s="79">
        <f>IF(K153="NV","",IF(VLOOKUP(M153,'R_Häufigkeit_Faktoren UHR'!$B$4:$I$24,7,FALSE)=0,"",VLOOKUP(M153,'R_Häufigkeit_Faktoren UHR'!$B$4:$I$24,7,FALSE)))</f>
        <v>4.3452380952380958</v>
      </c>
      <c r="O153" s="3">
        <f t="shared" si="25"/>
        <v>79.517857142857153</v>
      </c>
      <c r="P153" s="325"/>
      <c r="Q153" s="156">
        <f>IF(N153="","",VLOOKUP(J153,Raumgruppen_Leistungswerte!$B$5:$F$35,5,FALSE))</f>
        <v>0</v>
      </c>
      <c r="R153" s="157" t="e">
        <f t="shared" si="26"/>
        <v>#DIV/0!</v>
      </c>
      <c r="S153" s="445" t="e">
        <f t="shared" si="27"/>
        <v>#DIV/0!</v>
      </c>
      <c r="T153" s="78" t="str">
        <f>IF(K153="NV","",IF(VLOOKUP(M153,'R_Häufigkeit_Faktoren UHR'!$B$4:$I$24,8,FALSE)=0,"",VLOOKUP(M153,'R_Häufigkeit_Faktoren UHR'!$B$4:$I$24,8,FALSE)))</f>
        <v/>
      </c>
      <c r="U153" s="156" t="str">
        <f t="shared" si="28"/>
        <v/>
      </c>
      <c r="V153" s="427"/>
      <c r="W153" s="12" t="str">
        <f>IF(T153="","",VLOOKUP(J153,Raumgruppen_Leistungswerte!$B$5:$F$35,5,FALSE))</f>
        <v/>
      </c>
      <c r="X153" s="156" t="str">
        <f t="shared" si="29"/>
        <v/>
      </c>
      <c r="Y153" s="446" t="str">
        <f t="shared" si="30"/>
        <v/>
      </c>
      <c r="Z153" s="158">
        <f t="shared" si="31"/>
        <v>79.517857142857153</v>
      </c>
      <c r="AA153" s="23" t="e">
        <f t="shared" si="32"/>
        <v>#DIV/0!</v>
      </c>
      <c r="AB153" s="445" t="e">
        <f t="shared" si="33"/>
        <v>#DIV/0!</v>
      </c>
      <c r="AC153" s="123"/>
    </row>
    <row r="154" spans="1:29" ht="12" customHeight="1">
      <c r="A154" s="11">
        <v>150</v>
      </c>
      <c r="B154" s="12" t="s">
        <v>367</v>
      </c>
      <c r="C154" s="17">
        <v>3</v>
      </c>
      <c r="D154" s="19" t="s">
        <v>367</v>
      </c>
      <c r="E154" s="17">
        <v>1</v>
      </c>
      <c r="F154" s="18" t="s">
        <v>450</v>
      </c>
      <c r="G154" s="319">
        <v>18.2</v>
      </c>
      <c r="H154" s="19" t="s">
        <v>410</v>
      </c>
      <c r="I154" s="14" t="s">
        <v>371</v>
      </c>
      <c r="J154" s="21" t="s">
        <v>176</v>
      </c>
      <c r="K154" s="12" t="s">
        <v>14</v>
      </c>
      <c r="L154" s="319">
        <f t="shared" si="24"/>
        <v>18.2</v>
      </c>
      <c r="M154" s="22">
        <v>1</v>
      </c>
      <c r="N154" s="79">
        <f>IF(K154="NV","",IF(VLOOKUP(M154,'R_Häufigkeit_Faktoren UHR'!$B$4:$I$24,7,FALSE)=0,"",VLOOKUP(M154,'R_Häufigkeit_Faktoren UHR'!$B$4:$I$24,7,FALSE)))</f>
        <v>4.3452380952380958</v>
      </c>
      <c r="O154" s="3">
        <f t="shared" si="25"/>
        <v>79.083333333333343</v>
      </c>
      <c r="P154" s="325"/>
      <c r="Q154" s="156">
        <f>IF(N154="","",VLOOKUP(J154,Raumgruppen_Leistungswerte!$B$5:$F$35,5,FALSE))</f>
        <v>0</v>
      </c>
      <c r="R154" s="157" t="e">
        <f t="shared" si="26"/>
        <v>#DIV/0!</v>
      </c>
      <c r="S154" s="445" t="e">
        <f t="shared" si="27"/>
        <v>#DIV/0!</v>
      </c>
      <c r="T154" s="78" t="str">
        <f>IF(K154="NV","",IF(VLOOKUP(M154,'R_Häufigkeit_Faktoren UHR'!$B$4:$I$24,8,FALSE)=0,"",VLOOKUP(M154,'R_Häufigkeit_Faktoren UHR'!$B$4:$I$24,8,FALSE)))</f>
        <v/>
      </c>
      <c r="U154" s="156" t="str">
        <f t="shared" si="28"/>
        <v/>
      </c>
      <c r="V154" s="427"/>
      <c r="W154" s="12" t="str">
        <f>IF(T154="","",VLOOKUP(J154,Raumgruppen_Leistungswerte!$B$5:$F$35,5,FALSE))</f>
        <v/>
      </c>
      <c r="X154" s="156" t="str">
        <f t="shared" si="29"/>
        <v/>
      </c>
      <c r="Y154" s="446" t="str">
        <f t="shared" si="30"/>
        <v/>
      </c>
      <c r="Z154" s="158">
        <f t="shared" si="31"/>
        <v>79.083333333333343</v>
      </c>
      <c r="AA154" s="23" t="e">
        <f t="shared" si="32"/>
        <v>#DIV/0!</v>
      </c>
      <c r="AB154" s="445" t="e">
        <f t="shared" si="33"/>
        <v>#DIV/0!</v>
      </c>
      <c r="AC154" s="123"/>
    </row>
    <row r="155" spans="1:29" ht="12" customHeight="1">
      <c r="A155" s="11">
        <v>151</v>
      </c>
      <c r="B155" s="12" t="s">
        <v>367</v>
      </c>
      <c r="C155" s="17">
        <v>3</v>
      </c>
      <c r="D155" s="19" t="s">
        <v>367</v>
      </c>
      <c r="E155" s="17">
        <v>1</v>
      </c>
      <c r="F155" s="18" t="s">
        <v>414</v>
      </c>
      <c r="G155" s="319">
        <v>14</v>
      </c>
      <c r="H155" s="19" t="s">
        <v>415</v>
      </c>
      <c r="I155" s="20" t="s">
        <v>371</v>
      </c>
      <c r="J155" s="15" t="s">
        <v>245</v>
      </c>
      <c r="K155" s="12" t="s">
        <v>14</v>
      </c>
      <c r="L155" s="319">
        <f t="shared" si="24"/>
        <v>14</v>
      </c>
      <c r="M155" s="22">
        <v>5</v>
      </c>
      <c r="N155" s="79">
        <f>IF(K155="NV","",IF(VLOOKUP(M155,'R_Häufigkeit_Faktoren UHR'!$B$4:$I$24,7,FALSE)=0,"",VLOOKUP(M155,'R_Häufigkeit_Faktoren UHR'!$B$4:$I$24,7,FALSE)))</f>
        <v>20.917857142857144</v>
      </c>
      <c r="O155" s="3">
        <f t="shared" si="25"/>
        <v>292.85000000000002</v>
      </c>
      <c r="P155" s="325"/>
      <c r="Q155" s="156">
        <f>IF(N155="","",VLOOKUP(J155,Raumgruppen_Leistungswerte!$B$5:$F$35,5,FALSE))</f>
        <v>0</v>
      </c>
      <c r="R155" s="157" t="e">
        <f t="shared" si="26"/>
        <v>#DIV/0!</v>
      </c>
      <c r="S155" s="445" t="e">
        <f t="shared" si="27"/>
        <v>#DIV/0!</v>
      </c>
      <c r="T155" s="78" t="str">
        <f>IF(K155="NV","",IF(VLOOKUP(M155,'R_Häufigkeit_Faktoren UHR'!$B$4:$I$24,8,FALSE)=0,"",VLOOKUP(M155,'R_Häufigkeit_Faktoren UHR'!$B$4:$I$24,8,FALSE)))</f>
        <v/>
      </c>
      <c r="U155" s="156" t="str">
        <f t="shared" si="28"/>
        <v/>
      </c>
      <c r="V155" s="427"/>
      <c r="W155" s="12" t="str">
        <f>IF(T155="","",VLOOKUP(J155,Raumgruppen_Leistungswerte!$B$5:$F$35,5,FALSE))</f>
        <v/>
      </c>
      <c r="X155" s="156" t="str">
        <f t="shared" si="29"/>
        <v/>
      </c>
      <c r="Y155" s="446" t="str">
        <f t="shared" si="30"/>
        <v/>
      </c>
      <c r="Z155" s="158">
        <f t="shared" si="31"/>
        <v>292.85000000000002</v>
      </c>
      <c r="AA155" s="23" t="e">
        <f t="shared" si="32"/>
        <v>#DIV/0!</v>
      </c>
      <c r="AB155" s="445" t="e">
        <f t="shared" si="33"/>
        <v>#DIV/0!</v>
      </c>
      <c r="AC155" s="123"/>
    </row>
    <row r="156" spans="1:29" ht="12" customHeight="1">
      <c r="A156" s="11">
        <v>152</v>
      </c>
      <c r="B156" s="12" t="s">
        <v>367</v>
      </c>
      <c r="C156" s="17">
        <v>3</v>
      </c>
      <c r="D156" s="19" t="s">
        <v>367</v>
      </c>
      <c r="E156" s="17">
        <v>1</v>
      </c>
      <c r="F156" s="18" t="s">
        <v>451</v>
      </c>
      <c r="G156" s="319">
        <v>14.5</v>
      </c>
      <c r="H156" s="19" t="s">
        <v>452</v>
      </c>
      <c r="I156" s="20" t="s">
        <v>371</v>
      </c>
      <c r="J156" s="21" t="s">
        <v>247</v>
      </c>
      <c r="K156" s="12" t="s">
        <v>14</v>
      </c>
      <c r="L156" s="319">
        <f t="shared" si="24"/>
        <v>14.5</v>
      </c>
      <c r="M156" s="22">
        <v>7</v>
      </c>
      <c r="N156" s="79">
        <f>IF(K156="NV","",IF(VLOOKUP(M156,'R_Häufigkeit_Faktoren UHR'!$B$4:$I$24,7,FALSE)=0,"",VLOOKUP(M156,'R_Häufigkeit_Faktoren UHR'!$B$4:$I$24,7,FALSE)))</f>
        <v>30.416666666666668</v>
      </c>
      <c r="O156" s="3">
        <f t="shared" si="25"/>
        <v>441.04166666666669</v>
      </c>
      <c r="P156" s="325"/>
      <c r="Q156" s="156">
        <f>IF(N156="","",VLOOKUP(J156,Raumgruppen_Leistungswerte!$B$5:$F$35,5,FALSE))</f>
        <v>0</v>
      </c>
      <c r="R156" s="157" t="e">
        <f t="shared" si="26"/>
        <v>#DIV/0!</v>
      </c>
      <c r="S156" s="445" t="e">
        <f t="shared" si="27"/>
        <v>#DIV/0!</v>
      </c>
      <c r="T156" s="78">
        <f>IF(K156="NV","",IF(VLOOKUP(M156,'R_Häufigkeit_Faktoren UHR'!$B$4:$I$24,8,FALSE)=0,"",VLOOKUP(M156,'R_Häufigkeit_Faktoren UHR'!$B$4:$I$24,8,FALSE)))</f>
        <v>4.333333333333333</v>
      </c>
      <c r="U156" s="156">
        <f t="shared" si="28"/>
        <v>62.833333333333329</v>
      </c>
      <c r="V156" s="427"/>
      <c r="W156" s="12">
        <f>IF(T156="","",VLOOKUP(J156,Raumgruppen_Leistungswerte!$B$5:$F$35,5,FALSE))</f>
        <v>0</v>
      </c>
      <c r="X156" s="156" t="e">
        <f t="shared" si="29"/>
        <v>#DIV/0!</v>
      </c>
      <c r="Y156" s="446" t="e">
        <f t="shared" si="30"/>
        <v>#DIV/0!</v>
      </c>
      <c r="Z156" s="158">
        <f t="shared" si="31"/>
        <v>503.875</v>
      </c>
      <c r="AA156" s="23" t="e">
        <f t="shared" si="32"/>
        <v>#DIV/0!</v>
      </c>
      <c r="AB156" s="445" t="e">
        <f t="shared" si="33"/>
        <v>#DIV/0!</v>
      </c>
      <c r="AC156" s="123"/>
    </row>
    <row r="157" spans="1:29" ht="12" customHeight="1">
      <c r="A157" s="11">
        <v>153</v>
      </c>
      <c r="B157" s="12" t="s">
        <v>367</v>
      </c>
      <c r="C157" s="17">
        <v>3</v>
      </c>
      <c r="D157" s="19" t="s">
        <v>367</v>
      </c>
      <c r="E157" s="17">
        <v>1</v>
      </c>
      <c r="F157" s="18" t="s">
        <v>453</v>
      </c>
      <c r="G157" s="319">
        <v>3.8</v>
      </c>
      <c r="H157" s="19" t="s">
        <v>387</v>
      </c>
      <c r="I157" s="20" t="s">
        <v>282</v>
      </c>
      <c r="J157" s="21" t="s">
        <v>1</v>
      </c>
      <c r="K157" s="12" t="s">
        <v>14</v>
      </c>
      <c r="L157" s="319">
        <f t="shared" si="24"/>
        <v>3.8</v>
      </c>
      <c r="M157" s="22">
        <v>7</v>
      </c>
      <c r="N157" s="79">
        <f>IF(K157="NV","",IF(VLOOKUP(M157,'R_Häufigkeit_Faktoren UHR'!$B$4:$I$24,7,FALSE)=0,"",VLOOKUP(M157,'R_Häufigkeit_Faktoren UHR'!$B$4:$I$24,7,FALSE)))</f>
        <v>30.416666666666668</v>
      </c>
      <c r="O157" s="3">
        <f t="shared" si="25"/>
        <v>115.58333333333333</v>
      </c>
      <c r="P157" s="325"/>
      <c r="Q157" s="156">
        <f>IF(N157="","",VLOOKUP(J157,Raumgruppen_Leistungswerte!$B$5:$F$35,5,FALSE))</f>
        <v>0</v>
      </c>
      <c r="R157" s="157" t="e">
        <f t="shared" si="26"/>
        <v>#DIV/0!</v>
      </c>
      <c r="S157" s="445" t="e">
        <f t="shared" si="27"/>
        <v>#DIV/0!</v>
      </c>
      <c r="T157" s="78">
        <f>IF(K157="NV","",IF(VLOOKUP(M157,'R_Häufigkeit_Faktoren UHR'!$B$4:$I$24,8,FALSE)=0,"",VLOOKUP(M157,'R_Häufigkeit_Faktoren UHR'!$B$4:$I$24,8,FALSE)))</f>
        <v>4.333333333333333</v>
      </c>
      <c r="U157" s="156">
        <f t="shared" si="28"/>
        <v>16.466666666666665</v>
      </c>
      <c r="V157" s="427"/>
      <c r="W157" s="12">
        <f>IF(T157="","",VLOOKUP(J157,Raumgruppen_Leistungswerte!$B$5:$F$35,5,FALSE))</f>
        <v>0</v>
      </c>
      <c r="X157" s="156" t="e">
        <f t="shared" si="29"/>
        <v>#DIV/0!</v>
      </c>
      <c r="Y157" s="446" t="e">
        <f t="shared" si="30"/>
        <v>#DIV/0!</v>
      </c>
      <c r="Z157" s="158">
        <f t="shared" si="31"/>
        <v>132.04999999999998</v>
      </c>
      <c r="AA157" s="23" t="e">
        <f t="shared" si="32"/>
        <v>#DIV/0!</v>
      </c>
      <c r="AB157" s="445" t="e">
        <f t="shared" si="33"/>
        <v>#DIV/0!</v>
      </c>
      <c r="AC157" s="123"/>
    </row>
    <row r="158" spans="1:29" ht="12" customHeight="1">
      <c r="A158" s="11">
        <v>154</v>
      </c>
      <c r="B158" s="12" t="s">
        <v>367</v>
      </c>
      <c r="C158" s="17">
        <v>3</v>
      </c>
      <c r="D158" s="19" t="s">
        <v>367</v>
      </c>
      <c r="E158" s="17">
        <v>1</v>
      </c>
      <c r="F158" s="18" t="s">
        <v>443</v>
      </c>
      <c r="G158" s="319">
        <v>6</v>
      </c>
      <c r="H158" s="19" t="s">
        <v>381</v>
      </c>
      <c r="I158" s="20" t="s">
        <v>383</v>
      </c>
      <c r="J158" s="21" t="s">
        <v>245</v>
      </c>
      <c r="K158" s="12" t="s">
        <v>14</v>
      </c>
      <c r="L158" s="319">
        <f t="shared" si="24"/>
        <v>6</v>
      </c>
      <c r="M158" s="22">
        <v>7</v>
      </c>
      <c r="N158" s="79">
        <f>IF(K158="NV","",IF(VLOOKUP(M158,'R_Häufigkeit_Faktoren UHR'!$B$4:$I$24,7,FALSE)=0,"",VLOOKUP(M158,'R_Häufigkeit_Faktoren UHR'!$B$4:$I$24,7,FALSE)))</f>
        <v>30.416666666666668</v>
      </c>
      <c r="O158" s="3">
        <f t="shared" si="25"/>
        <v>182.5</v>
      </c>
      <c r="P158" s="325"/>
      <c r="Q158" s="156">
        <f>IF(N158="","",VLOOKUP(J158,Raumgruppen_Leistungswerte!$B$5:$F$35,5,FALSE))</f>
        <v>0</v>
      </c>
      <c r="R158" s="157" t="e">
        <f t="shared" si="26"/>
        <v>#DIV/0!</v>
      </c>
      <c r="S158" s="445" t="e">
        <f t="shared" si="27"/>
        <v>#DIV/0!</v>
      </c>
      <c r="T158" s="78">
        <f>IF(K158="NV","",IF(VLOOKUP(M158,'R_Häufigkeit_Faktoren UHR'!$B$4:$I$24,8,FALSE)=0,"",VLOOKUP(M158,'R_Häufigkeit_Faktoren UHR'!$B$4:$I$24,8,FALSE)))</f>
        <v>4.333333333333333</v>
      </c>
      <c r="U158" s="156">
        <f t="shared" si="28"/>
        <v>26</v>
      </c>
      <c r="V158" s="427"/>
      <c r="W158" s="12">
        <f>IF(T158="","",VLOOKUP(J158,Raumgruppen_Leistungswerte!$B$5:$F$35,5,FALSE))</f>
        <v>0</v>
      </c>
      <c r="X158" s="156" t="e">
        <f t="shared" si="29"/>
        <v>#DIV/0!</v>
      </c>
      <c r="Y158" s="446" t="e">
        <f t="shared" si="30"/>
        <v>#DIV/0!</v>
      </c>
      <c r="Z158" s="158">
        <f t="shared" si="31"/>
        <v>208.5</v>
      </c>
      <c r="AA158" s="23" t="e">
        <f t="shared" si="32"/>
        <v>#DIV/0!</v>
      </c>
      <c r="AB158" s="445" t="e">
        <f t="shared" si="33"/>
        <v>#DIV/0!</v>
      </c>
      <c r="AC158" s="123"/>
    </row>
    <row r="159" spans="1:29" ht="12" customHeight="1">
      <c r="A159" s="11">
        <v>155</v>
      </c>
      <c r="B159" s="12" t="s">
        <v>367</v>
      </c>
      <c r="C159" s="17">
        <v>3</v>
      </c>
      <c r="D159" s="19" t="s">
        <v>416</v>
      </c>
      <c r="E159" s="17">
        <v>1</v>
      </c>
      <c r="F159" s="18" t="s">
        <v>454</v>
      </c>
      <c r="G159" s="319">
        <v>19.8</v>
      </c>
      <c r="H159" s="19" t="s">
        <v>455</v>
      </c>
      <c r="I159" s="14" t="s">
        <v>371</v>
      </c>
      <c r="J159" s="21" t="s">
        <v>176</v>
      </c>
      <c r="K159" s="12" t="s">
        <v>14</v>
      </c>
      <c r="L159" s="319">
        <f t="shared" si="24"/>
        <v>19.8</v>
      </c>
      <c r="M159" s="22">
        <v>1</v>
      </c>
      <c r="N159" s="79">
        <f>IF(K159="NV","",IF(VLOOKUP(M159,'R_Häufigkeit_Faktoren UHR'!$B$4:$I$24,7,FALSE)=0,"",VLOOKUP(M159,'R_Häufigkeit_Faktoren UHR'!$B$4:$I$24,7,FALSE)))</f>
        <v>4.3452380952380958</v>
      </c>
      <c r="O159" s="3">
        <f t="shared" si="25"/>
        <v>86.035714285714306</v>
      </c>
      <c r="P159" s="325"/>
      <c r="Q159" s="156">
        <f>IF(N159="","",VLOOKUP(J159,Raumgruppen_Leistungswerte!$B$5:$F$35,5,FALSE))</f>
        <v>0</v>
      </c>
      <c r="R159" s="157" t="e">
        <f t="shared" si="26"/>
        <v>#DIV/0!</v>
      </c>
      <c r="S159" s="445" t="e">
        <f t="shared" si="27"/>
        <v>#DIV/0!</v>
      </c>
      <c r="T159" s="78" t="str">
        <f>IF(K159="NV","",IF(VLOOKUP(M159,'R_Häufigkeit_Faktoren UHR'!$B$4:$I$24,8,FALSE)=0,"",VLOOKUP(M159,'R_Häufigkeit_Faktoren UHR'!$B$4:$I$24,8,FALSE)))</f>
        <v/>
      </c>
      <c r="U159" s="156" t="str">
        <f t="shared" si="28"/>
        <v/>
      </c>
      <c r="V159" s="427"/>
      <c r="W159" s="12" t="str">
        <f>IF(T159="","",VLOOKUP(J159,Raumgruppen_Leistungswerte!$B$5:$F$35,5,FALSE))</f>
        <v/>
      </c>
      <c r="X159" s="156" t="str">
        <f t="shared" si="29"/>
        <v/>
      </c>
      <c r="Y159" s="446" t="str">
        <f t="shared" si="30"/>
        <v/>
      </c>
      <c r="Z159" s="158">
        <f t="shared" si="31"/>
        <v>86.035714285714306</v>
      </c>
      <c r="AA159" s="23" t="e">
        <f t="shared" si="32"/>
        <v>#DIV/0!</v>
      </c>
      <c r="AB159" s="445" t="e">
        <f t="shared" si="33"/>
        <v>#DIV/0!</v>
      </c>
      <c r="AC159" s="123"/>
    </row>
    <row r="160" spans="1:29" ht="12" customHeight="1">
      <c r="A160" s="11">
        <v>156</v>
      </c>
      <c r="B160" s="12" t="s">
        <v>367</v>
      </c>
      <c r="C160" s="17">
        <v>3</v>
      </c>
      <c r="D160" s="19" t="s">
        <v>416</v>
      </c>
      <c r="E160" s="17">
        <v>1</v>
      </c>
      <c r="F160" s="316" t="s">
        <v>456</v>
      </c>
      <c r="G160" s="319">
        <v>52</v>
      </c>
      <c r="H160" s="317" t="s">
        <v>455</v>
      </c>
      <c r="I160" s="14" t="s">
        <v>371</v>
      </c>
      <c r="J160" s="21" t="s">
        <v>176</v>
      </c>
      <c r="K160" s="12" t="s">
        <v>14</v>
      </c>
      <c r="L160" s="319">
        <f t="shared" si="24"/>
        <v>52</v>
      </c>
      <c r="M160" s="22">
        <v>1</v>
      </c>
      <c r="N160" s="79">
        <f>IF(K160="NV","",IF(VLOOKUP(M160,'R_Häufigkeit_Faktoren UHR'!$B$4:$I$24,7,FALSE)=0,"",VLOOKUP(M160,'R_Häufigkeit_Faktoren UHR'!$B$4:$I$24,7,FALSE)))</f>
        <v>4.3452380952380958</v>
      </c>
      <c r="O160" s="3">
        <f t="shared" si="25"/>
        <v>225.95238095238099</v>
      </c>
      <c r="P160" s="325"/>
      <c r="Q160" s="156">
        <f>IF(N160="","",VLOOKUP(J160,Raumgruppen_Leistungswerte!$B$5:$F$35,5,FALSE))</f>
        <v>0</v>
      </c>
      <c r="R160" s="157" t="e">
        <f t="shared" si="26"/>
        <v>#DIV/0!</v>
      </c>
      <c r="S160" s="445" t="e">
        <f t="shared" si="27"/>
        <v>#DIV/0!</v>
      </c>
      <c r="T160" s="78" t="str">
        <f>IF(K160="NV","",IF(VLOOKUP(M160,'R_Häufigkeit_Faktoren UHR'!$B$4:$I$24,8,FALSE)=0,"",VLOOKUP(M160,'R_Häufigkeit_Faktoren UHR'!$B$4:$I$24,8,FALSE)))</f>
        <v/>
      </c>
      <c r="U160" s="156" t="str">
        <f t="shared" si="28"/>
        <v/>
      </c>
      <c r="V160" s="427"/>
      <c r="W160" s="12" t="str">
        <f>IF(T160="","",VLOOKUP(J160,Raumgruppen_Leistungswerte!$B$5:$F$35,5,FALSE))</f>
        <v/>
      </c>
      <c r="X160" s="156" t="str">
        <f t="shared" si="29"/>
        <v/>
      </c>
      <c r="Y160" s="446" t="str">
        <f t="shared" si="30"/>
        <v/>
      </c>
      <c r="Z160" s="158">
        <f t="shared" si="31"/>
        <v>225.95238095238099</v>
      </c>
      <c r="AA160" s="23" t="e">
        <f t="shared" si="32"/>
        <v>#DIV/0!</v>
      </c>
      <c r="AB160" s="445" t="e">
        <f t="shared" si="33"/>
        <v>#DIV/0!</v>
      </c>
      <c r="AC160" s="123"/>
    </row>
    <row r="161" spans="1:29" ht="12" customHeight="1">
      <c r="A161" s="11">
        <v>157</v>
      </c>
      <c r="B161" s="12" t="s">
        <v>367</v>
      </c>
      <c r="C161" s="17">
        <v>4</v>
      </c>
      <c r="D161" s="19" t="s">
        <v>367</v>
      </c>
      <c r="E161" s="17">
        <v>1</v>
      </c>
      <c r="F161" s="316" t="s">
        <v>370</v>
      </c>
      <c r="G161" s="319">
        <v>84.3</v>
      </c>
      <c r="H161" s="317" t="s">
        <v>13</v>
      </c>
      <c r="I161" s="20" t="s">
        <v>371</v>
      </c>
      <c r="J161" s="21" t="s">
        <v>238</v>
      </c>
      <c r="K161" s="12" t="s">
        <v>14</v>
      </c>
      <c r="L161" s="319">
        <f t="shared" si="24"/>
        <v>84.3</v>
      </c>
      <c r="M161" s="22">
        <v>5</v>
      </c>
      <c r="N161" s="79">
        <f>IF(K161="NV","",IF(VLOOKUP(M161,'R_Häufigkeit_Faktoren UHR'!$B$4:$I$24,7,FALSE)=0,"",VLOOKUP(M161,'R_Häufigkeit_Faktoren UHR'!$B$4:$I$24,7,FALSE)))</f>
        <v>20.917857142857144</v>
      </c>
      <c r="O161" s="3">
        <f t="shared" si="25"/>
        <v>1763.3753571428572</v>
      </c>
      <c r="P161" s="325"/>
      <c r="Q161" s="156">
        <f>IF(N161="","",VLOOKUP(J161,Raumgruppen_Leistungswerte!$B$5:$F$35,5,FALSE))</f>
        <v>0</v>
      </c>
      <c r="R161" s="157" t="e">
        <f t="shared" si="26"/>
        <v>#DIV/0!</v>
      </c>
      <c r="S161" s="445" t="e">
        <f t="shared" si="27"/>
        <v>#DIV/0!</v>
      </c>
      <c r="T161" s="78" t="str">
        <f>IF(K161="NV","",IF(VLOOKUP(M161,'R_Häufigkeit_Faktoren UHR'!$B$4:$I$24,8,FALSE)=0,"",VLOOKUP(M161,'R_Häufigkeit_Faktoren UHR'!$B$4:$I$24,8,FALSE)))</f>
        <v/>
      </c>
      <c r="U161" s="156" t="str">
        <f t="shared" si="28"/>
        <v/>
      </c>
      <c r="V161" s="427"/>
      <c r="W161" s="12" t="str">
        <f>IF(T161="","",VLOOKUP(J161,Raumgruppen_Leistungswerte!$B$5:$F$35,5,FALSE))</f>
        <v/>
      </c>
      <c r="X161" s="156" t="str">
        <f t="shared" si="29"/>
        <v/>
      </c>
      <c r="Y161" s="446" t="str">
        <f t="shared" si="30"/>
        <v/>
      </c>
      <c r="Z161" s="158">
        <f t="shared" si="31"/>
        <v>1763.3753571428572</v>
      </c>
      <c r="AA161" s="23" t="e">
        <f t="shared" si="32"/>
        <v>#DIV/0!</v>
      </c>
      <c r="AB161" s="445" t="e">
        <f t="shared" si="33"/>
        <v>#DIV/0!</v>
      </c>
      <c r="AC161" s="123"/>
    </row>
    <row r="162" spans="1:29" ht="12" customHeight="1">
      <c r="A162" s="11">
        <v>158</v>
      </c>
      <c r="B162" s="12" t="s">
        <v>367</v>
      </c>
      <c r="C162" s="17">
        <v>4</v>
      </c>
      <c r="D162" s="19" t="s">
        <v>367</v>
      </c>
      <c r="E162" s="17">
        <v>1</v>
      </c>
      <c r="F162" s="316" t="s">
        <v>457</v>
      </c>
      <c r="G162" s="319">
        <v>26.9</v>
      </c>
      <c r="H162" s="317" t="s">
        <v>415</v>
      </c>
      <c r="I162" s="20" t="s">
        <v>371</v>
      </c>
      <c r="J162" s="21" t="s">
        <v>245</v>
      </c>
      <c r="K162" s="12" t="s">
        <v>14</v>
      </c>
      <c r="L162" s="319">
        <f t="shared" si="24"/>
        <v>26.9</v>
      </c>
      <c r="M162" s="22">
        <v>5</v>
      </c>
      <c r="N162" s="79">
        <f>IF(K162="NV","",IF(VLOOKUP(M162,'R_Häufigkeit_Faktoren UHR'!$B$4:$I$24,7,FALSE)=0,"",VLOOKUP(M162,'R_Häufigkeit_Faktoren UHR'!$B$4:$I$24,7,FALSE)))</f>
        <v>20.917857142857144</v>
      </c>
      <c r="O162" s="3">
        <f t="shared" si="25"/>
        <v>562.69035714285712</v>
      </c>
      <c r="P162" s="325"/>
      <c r="Q162" s="156">
        <f>IF(N162="","",VLOOKUP(J162,Raumgruppen_Leistungswerte!$B$5:$F$35,5,FALSE))</f>
        <v>0</v>
      </c>
      <c r="R162" s="157" t="e">
        <f t="shared" si="26"/>
        <v>#DIV/0!</v>
      </c>
      <c r="S162" s="445" t="e">
        <f t="shared" si="27"/>
        <v>#DIV/0!</v>
      </c>
      <c r="T162" s="78" t="str">
        <f>IF(K162="NV","",IF(VLOOKUP(M162,'R_Häufigkeit_Faktoren UHR'!$B$4:$I$24,8,FALSE)=0,"",VLOOKUP(M162,'R_Häufigkeit_Faktoren UHR'!$B$4:$I$24,8,FALSE)))</f>
        <v/>
      </c>
      <c r="U162" s="156" t="str">
        <f t="shared" si="28"/>
        <v/>
      </c>
      <c r="V162" s="427"/>
      <c r="W162" s="12" t="str">
        <f>IF(T162="","",VLOOKUP(J162,Raumgruppen_Leistungswerte!$B$5:$F$35,5,FALSE))</f>
        <v/>
      </c>
      <c r="X162" s="156" t="str">
        <f t="shared" si="29"/>
        <v/>
      </c>
      <c r="Y162" s="446" t="str">
        <f t="shared" si="30"/>
        <v/>
      </c>
      <c r="Z162" s="158">
        <f t="shared" si="31"/>
        <v>562.69035714285712</v>
      </c>
      <c r="AA162" s="23" t="e">
        <f t="shared" si="32"/>
        <v>#DIV/0!</v>
      </c>
      <c r="AB162" s="445" t="e">
        <f t="shared" si="33"/>
        <v>#DIV/0!</v>
      </c>
      <c r="AC162" s="123"/>
    </row>
    <row r="163" spans="1:29" ht="12" customHeight="1">
      <c r="A163" s="11">
        <v>159</v>
      </c>
      <c r="B163" s="12" t="s">
        <v>367</v>
      </c>
      <c r="C163" s="17">
        <v>4</v>
      </c>
      <c r="D163" s="19" t="s">
        <v>367</v>
      </c>
      <c r="E163" s="17">
        <v>1</v>
      </c>
      <c r="F163" s="316" t="s">
        <v>458</v>
      </c>
      <c r="G163" s="319">
        <v>18.3</v>
      </c>
      <c r="H163" s="317" t="s">
        <v>410</v>
      </c>
      <c r="I163" s="14" t="s">
        <v>371</v>
      </c>
      <c r="J163" s="21" t="s">
        <v>176</v>
      </c>
      <c r="K163" s="12" t="s">
        <v>14</v>
      </c>
      <c r="L163" s="319">
        <f t="shared" si="24"/>
        <v>18.3</v>
      </c>
      <c r="M163" s="22">
        <v>1</v>
      </c>
      <c r="N163" s="79">
        <f>IF(K163="NV","",IF(VLOOKUP(M163,'R_Häufigkeit_Faktoren UHR'!$B$4:$I$24,7,FALSE)=0,"",VLOOKUP(M163,'R_Häufigkeit_Faktoren UHR'!$B$4:$I$24,7,FALSE)))</f>
        <v>4.3452380952380958</v>
      </c>
      <c r="O163" s="3">
        <f t="shared" si="25"/>
        <v>79.517857142857153</v>
      </c>
      <c r="P163" s="325"/>
      <c r="Q163" s="156">
        <f>IF(N163="","",VLOOKUP(J163,Raumgruppen_Leistungswerte!$B$5:$F$35,5,FALSE))</f>
        <v>0</v>
      </c>
      <c r="R163" s="157" t="e">
        <f t="shared" si="26"/>
        <v>#DIV/0!</v>
      </c>
      <c r="S163" s="445" t="e">
        <f t="shared" si="27"/>
        <v>#DIV/0!</v>
      </c>
      <c r="T163" s="78" t="str">
        <f>IF(K163="NV","",IF(VLOOKUP(M163,'R_Häufigkeit_Faktoren UHR'!$B$4:$I$24,8,FALSE)=0,"",VLOOKUP(M163,'R_Häufigkeit_Faktoren UHR'!$B$4:$I$24,8,FALSE)))</f>
        <v/>
      </c>
      <c r="U163" s="156" t="str">
        <f t="shared" si="28"/>
        <v/>
      </c>
      <c r="V163" s="427"/>
      <c r="W163" s="12" t="str">
        <f>IF(T163="","",VLOOKUP(J163,Raumgruppen_Leistungswerte!$B$5:$F$35,5,FALSE))</f>
        <v/>
      </c>
      <c r="X163" s="156" t="str">
        <f t="shared" si="29"/>
        <v/>
      </c>
      <c r="Y163" s="446" t="str">
        <f t="shared" si="30"/>
        <v/>
      </c>
      <c r="Z163" s="158">
        <f t="shared" si="31"/>
        <v>79.517857142857153</v>
      </c>
      <c r="AA163" s="23" t="e">
        <f t="shared" si="32"/>
        <v>#DIV/0!</v>
      </c>
      <c r="AB163" s="445" t="e">
        <f t="shared" si="33"/>
        <v>#DIV/0!</v>
      </c>
      <c r="AC163" s="123"/>
    </row>
    <row r="164" spans="1:29" ht="12" customHeight="1">
      <c r="A164" s="11">
        <v>160</v>
      </c>
      <c r="B164" s="12" t="s">
        <v>367</v>
      </c>
      <c r="C164" s="17">
        <v>4</v>
      </c>
      <c r="D164" s="19" t="s">
        <v>367</v>
      </c>
      <c r="E164" s="17">
        <v>1</v>
      </c>
      <c r="F164" s="316" t="s">
        <v>459</v>
      </c>
      <c r="G164" s="319">
        <v>18.3</v>
      </c>
      <c r="H164" s="317" t="s">
        <v>410</v>
      </c>
      <c r="I164" s="20" t="s">
        <v>371</v>
      </c>
      <c r="J164" s="21" t="s">
        <v>176</v>
      </c>
      <c r="K164" s="12" t="s">
        <v>14</v>
      </c>
      <c r="L164" s="319">
        <f t="shared" si="24"/>
        <v>18.3</v>
      </c>
      <c r="M164" s="22">
        <v>1</v>
      </c>
      <c r="N164" s="79">
        <f>IF(K164="NV","",IF(VLOOKUP(M164,'R_Häufigkeit_Faktoren UHR'!$B$4:$I$24,7,FALSE)=0,"",VLOOKUP(M164,'R_Häufigkeit_Faktoren UHR'!$B$4:$I$24,7,FALSE)))</f>
        <v>4.3452380952380958</v>
      </c>
      <c r="O164" s="3">
        <f t="shared" si="25"/>
        <v>79.517857142857153</v>
      </c>
      <c r="P164" s="325"/>
      <c r="Q164" s="156">
        <f>IF(N164="","",VLOOKUP(J164,Raumgruppen_Leistungswerte!$B$5:$F$35,5,FALSE))</f>
        <v>0</v>
      </c>
      <c r="R164" s="157" t="e">
        <f t="shared" si="26"/>
        <v>#DIV/0!</v>
      </c>
      <c r="S164" s="445" t="e">
        <f t="shared" si="27"/>
        <v>#DIV/0!</v>
      </c>
      <c r="T164" s="78" t="str">
        <f>IF(K164="NV","",IF(VLOOKUP(M164,'R_Häufigkeit_Faktoren UHR'!$B$4:$I$24,8,FALSE)=0,"",VLOOKUP(M164,'R_Häufigkeit_Faktoren UHR'!$B$4:$I$24,8,FALSE)))</f>
        <v/>
      </c>
      <c r="U164" s="156" t="str">
        <f t="shared" si="28"/>
        <v/>
      </c>
      <c r="V164" s="427"/>
      <c r="W164" s="12" t="str">
        <f>IF(T164="","",VLOOKUP(J164,Raumgruppen_Leistungswerte!$B$5:$F$35,5,FALSE))</f>
        <v/>
      </c>
      <c r="X164" s="156" t="str">
        <f t="shared" si="29"/>
        <v/>
      </c>
      <c r="Y164" s="446" t="str">
        <f t="shared" si="30"/>
        <v/>
      </c>
      <c r="Z164" s="158">
        <f t="shared" si="31"/>
        <v>79.517857142857153</v>
      </c>
      <c r="AA164" s="23" t="e">
        <f t="shared" si="32"/>
        <v>#DIV/0!</v>
      </c>
      <c r="AB164" s="445" t="e">
        <f t="shared" si="33"/>
        <v>#DIV/0!</v>
      </c>
      <c r="AC164" s="123"/>
    </row>
    <row r="165" spans="1:29" ht="12" customHeight="1">
      <c r="A165" s="11">
        <v>161</v>
      </c>
      <c r="B165" s="12" t="s">
        <v>367</v>
      </c>
      <c r="C165" s="17">
        <v>4</v>
      </c>
      <c r="D165" s="19" t="s">
        <v>367</v>
      </c>
      <c r="E165" s="17">
        <v>1</v>
      </c>
      <c r="F165" s="316" t="s">
        <v>460</v>
      </c>
      <c r="G165" s="319">
        <v>18.3</v>
      </c>
      <c r="H165" s="317" t="s">
        <v>410</v>
      </c>
      <c r="I165" s="20" t="s">
        <v>371</v>
      </c>
      <c r="J165" s="21" t="s">
        <v>176</v>
      </c>
      <c r="K165" s="12" t="s">
        <v>14</v>
      </c>
      <c r="L165" s="319">
        <f t="shared" si="24"/>
        <v>18.3</v>
      </c>
      <c r="M165" s="22">
        <v>1</v>
      </c>
      <c r="N165" s="79">
        <f>IF(K165="NV","",IF(VLOOKUP(M165,'R_Häufigkeit_Faktoren UHR'!$B$4:$I$24,7,FALSE)=0,"",VLOOKUP(M165,'R_Häufigkeit_Faktoren UHR'!$B$4:$I$24,7,FALSE)))</f>
        <v>4.3452380952380958</v>
      </c>
      <c r="O165" s="3">
        <f t="shared" si="25"/>
        <v>79.517857142857153</v>
      </c>
      <c r="P165" s="325"/>
      <c r="Q165" s="156">
        <f>IF(N165="","",VLOOKUP(J165,Raumgruppen_Leistungswerte!$B$5:$F$35,5,FALSE))</f>
        <v>0</v>
      </c>
      <c r="R165" s="157" t="e">
        <f t="shared" si="26"/>
        <v>#DIV/0!</v>
      </c>
      <c r="S165" s="445" t="e">
        <f t="shared" si="27"/>
        <v>#DIV/0!</v>
      </c>
      <c r="T165" s="78" t="str">
        <f>IF(K165="NV","",IF(VLOOKUP(M165,'R_Häufigkeit_Faktoren UHR'!$B$4:$I$24,8,FALSE)=0,"",VLOOKUP(M165,'R_Häufigkeit_Faktoren UHR'!$B$4:$I$24,8,FALSE)))</f>
        <v/>
      </c>
      <c r="U165" s="156" t="str">
        <f t="shared" si="28"/>
        <v/>
      </c>
      <c r="V165" s="427"/>
      <c r="W165" s="12" t="str">
        <f>IF(T165="","",VLOOKUP(J165,Raumgruppen_Leistungswerte!$B$5:$F$35,5,FALSE))</f>
        <v/>
      </c>
      <c r="X165" s="156" t="str">
        <f t="shared" si="29"/>
        <v/>
      </c>
      <c r="Y165" s="446" t="str">
        <f t="shared" si="30"/>
        <v/>
      </c>
      <c r="Z165" s="158">
        <f t="shared" si="31"/>
        <v>79.517857142857153</v>
      </c>
      <c r="AA165" s="23" t="e">
        <f t="shared" si="32"/>
        <v>#DIV/0!</v>
      </c>
      <c r="AB165" s="445" t="e">
        <f t="shared" si="33"/>
        <v>#DIV/0!</v>
      </c>
      <c r="AC165" s="123"/>
    </row>
    <row r="166" spans="1:29" ht="12" customHeight="1">
      <c r="A166" s="11">
        <v>162</v>
      </c>
      <c r="B166" s="12" t="s">
        <v>367</v>
      </c>
      <c r="C166" s="17">
        <v>4</v>
      </c>
      <c r="D166" s="19" t="s">
        <v>367</v>
      </c>
      <c r="E166" s="17">
        <v>1</v>
      </c>
      <c r="F166" s="316" t="s">
        <v>461</v>
      </c>
      <c r="G166" s="319">
        <v>16.2</v>
      </c>
      <c r="H166" s="317" t="s">
        <v>410</v>
      </c>
      <c r="I166" s="20" t="s">
        <v>371</v>
      </c>
      <c r="J166" s="21" t="s">
        <v>176</v>
      </c>
      <c r="K166" s="12" t="s">
        <v>14</v>
      </c>
      <c r="L166" s="319">
        <f t="shared" si="24"/>
        <v>16.2</v>
      </c>
      <c r="M166" s="22">
        <v>1</v>
      </c>
      <c r="N166" s="79">
        <f>IF(K166="NV","",IF(VLOOKUP(M166,'R_Häufigkeit_Faktoren UHR'!$B$4:$I$24,7,FALSE)=0,"",VLOOKUP(M166,'R_Häufigkeit_Faktoren UHR'!$B$4:$I$24,7,FALSE)))</f>
        <v>4.3452380952380958</v>
      </c>
      <c r="O166" s="3">
        <f t="shared" si="25"/>
        <v>70.392857142857153</v>
      </c>
      <c r="P166" s="325"/>
      <c r="Q166" s="156">
        <f>IF(N166="","",VLOOKUP(J166,Raumgruppen_Leistungswerte!$B$5:$F$35,5,FALSE))</f>
        <v>0</v>
      </c>
      <c r="R166" s="157" t="e">
        <f t="shared" si="26"/>
        <v>#DIV/0!</v>
      </c>
      <c r="S166" s="445" t="e">
        <f t="shared" si="27"/>
        <v>#DIV/0!</v>
      </c>
      <c r="T166" s="78" t="str">
        <f>IF(K166="NV","",IF(VLOOKUP(M166,'R_Häufigkeit_Faktoren UHR'!$B$4:$I$24,8,FALSE)=0,"",VLOOKUP(M166,'R_Häufigkeit_Faktoren UHR'!$B$4:$I$24,8,FALSE)))</f>
        <v/>
      </c>
      <c r="U166" s="156" t="str">
        <f t="shared" si="28"/>
        <v/>
      </c>
      <c r="V166" s="427"/>
      <c r="W166" s="12" t="str">
        <f>IF(T166="","",VLOOKUP(J166,Raumgruppen_Leistungswerte!$B$5:$F$35,5,FALSE))</f>
        <v/>
      </c>
      <c r="X166" s="156" t="str">
        <f t="shared" si="29"/>
        <v/>
      </c>
      <c r="Y166" s="446" t="str">
        <f t="shared" si="30"/>
        <v/>
      </c>
      <c r="Z166" s="158">
        <f t="shared" si="31"/>
        <v>70.392857142857153</v>
      </c>
      <c r="AA166" s="23" t="e">
        <f t="shared" si="32"/>
        <v>#DIV/0!</v>
      </c>
      <c r="AB166" s="445" t="e">
        <f t="shared" si="33"/>
        <v>#DIV/0!</v>
      </c>
      <c r="AC166" s="123"/>
    </row>
    <row r="167" spans="1:29" ht="12" customHeight="1">
      <c r="A167" s="11">
        <v>163</v>
      </c>
      <c r="B167" s="12" t="s">
        <v>367</v>
      </c>
      <c r="C167" s="17">
        <v>4</v>
      </c>
      <c r="D167" s="19" t="s">
        <v>367</v>
      </c>
      <c r="E167" s="17">
        <v>1</v>
      </c>
      <c r="F167" s="316" t="s">
        <v>462</v>
      </c>
      <c r="G167" s="319">
        <v>16.3</v>
      </c>
      <c r="H167" s="317" t="s">
        <v>410</v>
      </c>
      <c r="I167" s="20" t="s">
        <v>371</v>
      </c>
      <c r="J167" s="21" t="s">
        <v>176</v>
      </c>
      <c r="K167" s="12" t="s">
        <v>14</v>
      </c>
      <c r="L167" s="319">
        <f t="shared" si="24"/>
        <v>16.3</v>
      </c>
      <c r="M167" s="22">
        <v>1</v>
      </c>
      <c r="N167" s="79">
        <f>IF(K167="NV","",IF(VLOOKUP(M167,'R_Häufigkeit_Faktoren UHR'!$B$4:$I$24,7,FALSE)=0,"",VLOOKUP(M167,'R_Häufigkeit_Faktoren UHR'!$B$4:$I$24,7,FALSE)))</f>
        <v>4.3452380952380958</v>
      </c>
      <c r="O167" s="3">
        <f t="shared" si="25"/>
        <v>70.827380952380963</v>
      </c>
      <c r="P167" s="325"/>
      <c r="Q167" s="156">
        <f>IF(N167="","",VLOOKUP(J167,Raumgruppen_Leistungswerte!$B$5:$F$35,5,FALSE))</f>
        <v>0</v>
      </c>
      <c r="R167" s="157" t="e">
        <f t="shared" si="26"/>
        <v>#DIV/0!</v>
      </c>
      <c r="S167" s="445" t="e">
        <f t="shared" si="27"/>
        <v>#DIV/0!</v>
      </c>
      <c r="T167" s="78" t="str">
        <f>IF(K167="NV","",IF(VLOOKUP(M167,'R_Häufigkeit_Faktoren UHR'!$B$4:$I$24,8,FALSE)=0,"",VLOOKUP(M167,'R_Häufigkeit_Faktoren UHR'!$B$4:$I$24,8,FALSE)))</f>
        <v/>
      </c>
      <c r="U167" s="156" t="str">
        <f t="shared" si="28"/>
        <v/>
      </c>
      <c r="V167" s="427"/>
      <c r="W167" s="12" t="str">
        <f>IF(T167="","",VLOOKUP(J167,Raumgruppen_Leistungswerte!$B$5:$F$35,5,FALSE))</f>
        <v/>
      </c>
      <c r="X167" s="156" t="str">
        <f t="shared" si="29"/>
        <v/>
      </c>
      <c r="Y167" s="446" t="str">
        <f t="shared" si="30"/>
        <v/>
      </c>
      <c r="Z167" s="158">
        <f t="shared" si="31"/>
        <v>70.827380952380963</v>
      </c>
      <c r="AA167" s="23" t="e">
        <f t="shared" si="32"/>
        <v>#DIV/0!</v>
      </c>
      <c r="AB167" s="445" t="e">
        <f t="shared" si="33"/>
        <v>#DIV/0!</v>
      </c>
      <c r="AC167" s="123"/>
    </row>
    <row r="168" spans="1:29" ht="12" customHeight="1">
      <c r="A168" s="11">
        <v>164</v>
      </c>
      <c r="B168" s="12" t="s">
        <v>367</v>
      </c>
      <c r="C168" s="17">
        <v>4</v>
      </c>
      <c r="D168" s="19" t="s">
        <v>367</v>
      </c>
      <c r="E168" s="17">
        <v>1</v>
      </c>
      <c r="F168" s="316" t="s">
        <v>463</v>
      </c>
      <c r="G168" s="319">
        <v>16.3</v>
      </c>
      <c r="H168" s="317" t="s">
        <v>410</v>
      </c>
      <c r="I168" s="14" t="s">
        <v>371</v>
      </c>
      <c r="J168" s="21" t="s">
        <v>176</v>
      </c>
      <c r="K168" s="12" t="s">
        <v>14</v>
      </c>
      <c r="L168" s="319">
        <f t="shared" si="24"/>
        <v>16.3</v>
      </c>
      <c r="M168" s="22">
        <v>1</v>
      </c>
      <c r="N168" s="79">
        <f>IF(K168="NV","",IF(VLOOKUP(M168,'R_Häufigkeit_Faktoren UHR'!$B$4:$I$24,7,FALSE)=0,"",VLOOKUP(M168,'R_Häufigkeit_Faktoren UHR'!$B$4:$I$24,7,FALSE)))</f>
        <v>4.3452380952380958</v>
      </c>
      <c r="O168" s="3">
        <f t="shared" si="25"/>
        <v>70.827380952380963</v>
      </c>
      <c r="P168" s="325"/>
      <c r="Q168" s="156">
        <f>IF(N168="","",VLOOKUP(J168,Raumgruppen_Leistungswerte!$B$5:$F$35,5,FALSE))</f>
        <v>0</v>
      </c>
      <c r="R168" s="157" t="e">
        <f t="shared" si="26"/>
        <v>#DIV/0!</v>
      </c>
      <c r="S168" s="445" t="e">
        <f t="shared" si="27"/>
        <v>#DIV/0!</v>
      </c>
      <c r="T168" s="78" t="str">
        <f>IF(K168="NV","",IF(VLOOKUP(M168,'R_Häufigkeit_Faktoren UHR'!$B$4:$I$24,8,FALSE)=0,"",VLOOKUP(M168,'R_Häufigkeit_Faktoren UHR'!$B$4:$I$24,8,FALSE)))</f>
        <v/>
      </c>
      <c r="U168" s="156" t="str">
        <f t="shared" si="28"/>
        <v/>
      </c>
      <c r="V168" s="427"/>
      <c r="W168" s="12" t="str">
        <f>IF(T168="","",VLOOKUP(J168,Raumgruppen_Leistungswerte!$B$5:$F$35,5,FALSE))</f>
        <v/>
      </c>
      <c r="X168" s="156" t="str">
        <f t="shared" si="29"/>
        <v/>
      </c>
      <c r="Y168" s="446" t="str">
        <f t="shared" si="30"/>
        <v/>
      </c>
      <c r="Z168" s="158">
        <f t="shared" si="31"/>
        <v>70.827380952380963</v>
      </c>
      <c r="AA168" s="23" t="e">
        <f t="shared" si="32"/>
        <v>#DIV/0!</v>
      </c>
      <c r="AB168" s="445" t="e">
        <f t="shared" si="33"/>
        <v>#DIV/0!</v>
      </c>
      <c r="AC168" s="123"/>
    </row>
    <row r="169" spans="1:29" ht="12" customHeight="1">
      <c r="A169" s="11">
        <v>165</v>
      </c>
      <c r="B169" s="12" t="s">
        <v>367</v>
      </c>
      <c r="C169" s="17">
        <v>4</v>
      </c>
      <c r="D169" s="19" t="s">
        <v>367</v>
      </c>
      <c r="E169" s="17">
        <v>1</v>
      </c>
      <c r="F169" s="316" t="s">
        <v>464</v>
      </c>
      <c r="G169" s="319">
        <v>34</v>
      </c>
      <c r="H169" s="317" t="s">
        <v>410</v>
      </c>
      <c r="I169" s="14" t="s">
        <v>371</v>
      </c>
      <c r="J169" s="21" t="s">
        <v>176</v>
      </c>
      <c r="K169" s="12" t="s">
        <v>14</v>
      </c>
      <c r="L169" s="319">
        <f t="shared" si="24"/>
        <v>34</v>
      </c>
      <c r="M169" s="22">
        <v>1</v>
      </c>
      <c r="N169" s="79">
        <f>IF(K169="NV","",IF(VLOOKUP(M169,'R_Häufigkeit_Faktoren UHR'!$B$4:$I$24,7,FALSE)=0,"",VLOOKUP(M169,'R_Häufigkeit_Faktoren UHR'!$B$4:$I$24,7,FALSE)))</f>
        <v>4.3452380952380958</v>
      </c>
      <c r="O169" s="3">
        <f t="shared" si="25"/>
        <v>147.73809523809527</v>
      </c>
      <c r="P169" s="325"/>
      <c r="Q169" s="156">
        <f>IF(N169="","",VLOOKUP(J169,Raumgruppen_Leistungswerte!$B$5:$F$35,5,FALSE))</f>
        <v>0</v>
      </c>
      <c r="R169" s="157" t="e">
        <f t="shared" si="26"/>
        <v>#DIV/0!</v>
      </c>
      <c r="S169" s="445" t="e">
        <f t="shared" si="27"/>
        <v>#DIV/0!</v>
      </c>
      <c r="T169" s="78" t="str">
        <f>IF(K169="NV","",IF(VLOOKUP(M169,'R_Häufigkeit_Faktoren UHR'!$B$4:$I$24,8,FALSE)=0,"",VLOOKUP(M169,'R_Häufigkeit_Faktoren UHR'!$B$4:$I$24,8,FALSE)))</f>
        <v/>
      </c>
      <c r="U169" s="156" t="str">
        <f t="shared" si="28"/>
        <v/>
      </c>
      <c r="V169" s="427"/>
      <c r="W169" s="12" t="str">
        <f>IF(T169="","",VLOOKUP(J169,Raumgruppen_Leistungswerte!$B$5:$F$35,5,FALSE))</f>
        <v/>
      </c>
      <c r="X169" s="156" t="str">
        <f t="shared" si="29"/>
        <v/>
      </c>
      <c r="Y169" s="446" t="str">
        <f t="shared" si="30"/>
        <v/>
      </c>
      <c r="Z169" s="158">
        <f t="shared" si="31"/>
        <v>147.73809523809527</v>
      </c>
      <c r="AA169" s="23" t="e">
        <f t="shared" si="32"/>
        <v>#DIV/0!</v>
      </c>
      <c r="AB169" s="445" t="e">
        <f t="shared" si="33"/>
        <v>#DIV/0!</v>
      </c>
      <c r="AC169" s="123"/>
    </row>
    <row r="170" spans="1:29" ht="12" customHeight="1">
      <c r="A170" s="11">
        <v>166</v>
      </c>
      <c r="B170" s="12" t="s">
        <v>367</v>
      </c>
      <c r="C170" s="17">
        <v>4</v>
      </c>
      <c r="D170" s="19" t="s">
        <v>367</v>
      </c>
      <c r="E170" s="17">
        <v>1</v>
      </c>
      <c r="F170" s="316" t="s">
        <v>465</v>
      </c>
      <c r="G170" s="319">
        <v>27.7</v>
      </c>
      <c r="H170" s="317" t="s">
        <v>410</v>
      </c>
      <c r="I170" s="14" t="s">
        <v>371</v>
      </c>
      <c r="J170" s="21" t="s">
        <v>176</v>
      </c>
      <c r="K170" s="12" t="s">
        <v>14</v>
      </c>
      <c r="L170" s="319">
        <f t="shared" si="24"/>
        <v>27.7</v>
      </c>
      <c r="M170" s="22">
        <v>1</v>
      </c>
      <c r="N170" s="79">
        <f>IF(K170="NV","",IF(VLOOKUP(M170,'R_Häufigkeit_Faktoren UHR'!$B$4:$I$24,7,FALSE)=0,"",VLOOKUP(M170,'R_Häufigkeit_Faktoren UHR'!$B$4:$I$24,7,FALSE)))</f>
        <v>4.3452380952380958</v>
      </c>
      <c r="O170" s="3">
        <f t="shared" si="25"/>
        <v>120.36309523809526</v>
      </c>
      <c r="P170" s="325"/>
      <c r="Q170" s="156">
        <f>IF(N170="","",VLOOKUP(J170,Raumgruppen_Leistungswerte!$B$5:$F$35,5,FALSE))</f>
        <v>0</v>
      </c>
      <c r="R170" s="157" t="e">
        <f t="shared" si="26"/>
        <v>#DIV/0!</v>
      </c>
      <c r="S170" s="445" t="e">
        <f t="shared" si="27"/>
        <v>#DIV/0!</v>
      </c>
      <c r="T170" s="78" t="str">
        <f>IF(K170="NV","",IF(VLOOKUP(M170,'R_Häufigkeit_Faktoren UHR'!$B$4:$I$24,8,FALSE)=0,"",VLOOKUP(M170,'R_Häufigkeit_Faktoren UHR'!$B$4:$I$24,8,FALSE)))</f>
        <v/>
      </c>
      <c r="U170" s="156" t="str">
        <f t="shared" si="28"/>
        <v/>
      </c>
      <c r="V170" s="427"/>
      <c r="W170" s="12" t="str">
        <f>IF(T170="","",VLOOKUP(J170,Raumgruppen_Leistungswerte!$B$5:$F$35,5,FALSE))</f>
        <v/>
      </c>
      <c r="X170" s="156" t="str">
        <f t="shared" si="29"/>
        <v/>
      </c>
      <c r="Y170" s="446" t="str">
        <f t="shared" si="30"/>
        <v/>
      </c>
      <c r="Z170" s="158">
        <f t="shared" si="31"/>
        <v>120.36309523809526</v>
      </c>
      <c r="AA170" s="23" t="e">
        <f t="shared" si="32"/>
        <v>#DIV/0!</v>
      </c>
      <c r="AB170" s="445" t="e">
        <f t="shared" si="33"/>
        <v>#DIV/0!</v>
      </c>
      <c r="AC170" s="123"/>
    </row>
    <row r="171" spans="1:29" ht="12" customHeight="1">
      <c r="A171" s="11">
        <v>167</v>
      </c>
      <c r="B171" s="12" t="s">
        <v>367</v>
      </c>
      <c r="C171" s="17">
        <v>4</v>
      </c>
      <c r="D171" s="19" t="s">
        <v>367</v>
      </c>
      <c r="E171" s="17">
        <v>1</v>
      </c>
      <c r="F171" s="316" t="s">
        <v>466</v>
      </c>
      <c r="G171" s="319">
        <v>26.3</v>
      </c>
      <c r="H171" s="317" t="s">
        <v>410</v>
      </c>
      <c r="I171" s="14" t="s">
        <v>371</v>
      </c>
      <c r="J171" s="21" t="s">
        <v>176</v>
      </c>
      <c r="K171" s="12" t="s">
        <v>14</v>
      </c>
      <c r="L171" s="319">
        <f t="shared" si="24"/>
        <v>26.3</v>
      </c>
      <c r="M171" s="22">
        <v>1</v>
      </c>
      <c r="N171" s="79">
        <f>IF(K171="NV","",IF(VLOOKUP(M171,'R_Häufigkeit_Faktoren UHR'!$B$4:$I$24,7,FALSE)=0,"",VLOOKUP(M171,'R_Häufigkeit_Faktoren UHR'!$B$4:$I$24,7,FALSE)))</f>
        <v>4.3452380952380958</v>
      </c>
      <c r="O171" s="3">
        <f t="shared" si="25"/>
        <v>114.27976190476193</v>
      </c>
      <c r="P171" s="325"/>
      <c r="Q171" s="156">
        <f>IF(N171="","",VLOOKUP(J171,Raumgruppen_Leistungswerte!$B$5:$F$35,5,FALSE))</f>
        <v>0</v>
      </c>
      <c r="R171" s="157" t="e">
        <f t="shared" si="26"/>
        <v>#DIV/0!</v>
      </c>
      <c r="S171" s="445" t="e">
        <f t="shared" si="27"/>
        <v>#DIV/0!</v>
      </c>
      <c r="T171" s="78" t="str">
        <f>IF(K171="NV","",IF(VLOOKUP(M171,'R_Häufigkeit_Faktoren UHR'!$B$4:$I$24,8,FALSE)=0,"",VLOOKUP(M171,'R_Häufigkeit_Faktoren UHR'!$B$4:$I$24,8,FALSE)))</f>
        <v/>
      </c>
      <c r="U171" s="156" t="str">
        <f t="shared" si="28"/>
        <v/>
      </c>
      <c r="V171" s="427"/>
      <c r="W171" s="12" t="str">
        <f>IF(T171="","",VLOOKUP(J171,Raumgruppen_Leistungswerte!$B$5:$F$35,5,FALSE))</f>
        <v/>
      </c>
      <c r="X171" s="156" t="str">
        <f t="shared" si="29"/>
        <v/>
      </c>
      <c r="Y171" s="446" t="str">
        <f t="shared" si="30"/>
        <v/>
      </c>
      <c r="Z171" s="158">
        <f t="shared" si="31"/>
        <v>114.27976190476193</v>
      </c>
      <c r="AA171" s="23" t="e">
        <f t="shared" si="32"/>
        <v>#DIV/0!</v>
      </c>
      <c r="AB171" s="445" t="e">
        <f t="shared" si="33"/>
        <v>#DIV/0!</v>
      </c>
      <c r="AC171" s="123"/>
    </row>
    <row r="172" spans="1:29" ht="12" customHeight="1">
      <c r="A172" s="11">
        <v>168</v>
      </c>
      <c r="B172" s="12" t="s">
        <v>367</v>
      </c>
      <c r="C172" s="17">
        <v>4</v>
      </c>
      <c r="D172" s="19" t="s">
        <v>287</v>
      </c>
      <c r="E172" s="17">
        <v>1</v>
      </c>
      <c r="F172" s="316" t="s">
        <v>467</v>
      </c>
      <c r="G172" s="319">
        <v>12.9</v>
      </c>
      <c r="H172" s="317" t="s">
        <v>287</v>
      </c>
      <c r="I172" s="20" t="s">
        <v>371</v>
      </c>
      <c r="J172" s="15" t="s">
        <v>121</v>
      </c>
      <c r="K172" s="12" t="s">
        <v>173</v>
      </c>
      <c r="L172" s="319" t="str">
        <f t="shared" si="24"/>
        <v/>
      </c>
      <c r="M172" s="22"/>
      <c r="N172" s="79" t="str">
        <f>IF(K172="NV","",IF(VLOOKUP(M172,'R_Häufigkeit_Faktoren UHR'!$B$4:$I$24,7,FALSE)=0,"",VLOOKUP(M172,'R_Häufigkeit_Faktoren UHR'!$B$4:$I$24,7,FALSE)))</f>
        <v/>
      </c>
      <c r="O172" s="3" t="str">
        <f t="shared" si="25"/>
        <v/>
      </c>
      <c r="P172" s="325"/>
      <c r="Q172" s="156" t="str">
        <f>IF(N172="","",VLOOKUP(J172,Raumgruppen_Leistungswerte!$B$5:$F$35,5,FALSE))</f>
        <v/>
      </c>
      <c r="R172" s="157" t="str">
        <f t="shared" si="26"/>
        <v/>
      </c>
      <c r="S172" s="445" t="str">
        <f t="shared" si="27"/>
        <v/>
      </c>
      <c r="T172" s="78" t="str">
        <f>IF(K172="NV","",IF(VLOOKUP(M172,'R_Häufigkeit_Faktoren UHR'!$B$4:$I$24,8,FALSE)=0,"",VLOOKUP(M172,'R_Häufigkeit_Faktoren UHR'!$B$4:$I$24,8,FALSE)))</f>
        <v/>
      </c>
      <c r="U172" s="156" t="str">
        <f t="shared" si="28"/>
        <v/>
      </c>
      <c r="V172" s="427"/>
      <c r="W172" s="12" t="str">
        <f>IF(T172="","",VLOOKUP(J172,Raumgruppen_Leistungswerte!$B$5:$F$35,5,FALSE))</f>
        <v/>
      </c>
      <c r="X172" s="156" t="str">
        <f t="shared" si="29"/>
        <v/>
      </c>
      <c r="Y172" s="446" t="str">
        <f t="shared" si="30"/>
        <v/>
      </c>
      <c r="Z172" s="158" t="str">
        <f t="shared" si="31"/>
        <v/>
      </c>
      <c r="AA172" s="23" t="str">
        <f t="shared" si="32"/>
        <v/>
      </c>
      <c r="AB172" s="445" t="str">
        <f t="shared" si="33"/>
        <v/>
      </c>
      <c r="AC172" s="123"/>
    </row>
    <row r="173" spans="1:29" ht="12" customHeight="1">
      <c r="A173" s="11">
        <v>169</v>
      </c>
      <c r="B173" s="12" t="s">
        <v>367</v>
      </c>
      <c r="C173" s="17">
        <v>4</v>
      </c>
      <c r="D173" s="19" t="s">
        <v>367</v>
      </c>
      <c r="E173" s="17">
        <v>1</v>
      </c>
      <c r="F173" s="316" t="s">
        <v>468</v>
      </c>
      <c r="G173" s="319">
        <v>20</v>
      </c>
      <c r="H173" s="317" t="s">
        <v>410</v>
      </c>
      <c r="I173" s="20" t="s">
        <v>371</v>
      </c>
      <c r="J173" s="21" t="s">
        <v>176</v>
      </c>
      <c r="K173" s="12" t="s">
        <v>14</v>
      </c>
      <c r="L173" s="319">
        <f t="shared" si="24"/>
        <v>20</v>
      </c>
      <c r="M173" s="22">
        <v>1</v>
      </c>
      <c r="N173" s="79">
        <f>IF(K173="NV","",IF(VLOOKUP(M173,'R_Häufigkeit_Faktoren UHR'!$B$4:$I$24,7,FALSE)=0,"",VLOOKUP(M173,'R_Häufigkeit_Faktoren UHR'!$B$4:$I$24,7,FALSE)))</f>
        <v>4.3452380952380958</v>
      </c>
      <c r="O173" s="3">
        <f t="shared" si="25"/>
        <v>86.904761904761912</v>
      </c>
      <c r="P173" s="325"/>
      <c r="Q173" s="156">
        <f>IF(N173="","",VLOOKUP(J173,Raumgruppen_Leistungswerte!$B$5:$F$35,5,FALSE))</f>
        <v>0</v>
      </c>
      <c r="R173" s="157" t="e">
        <f t="shared" si="26"/>
        <v>#DIV/0!</v>
      </c>
      <c r="S173" s="445" t="e">
        <f t="shared" si="27"/>
        <v>#DIV/0!</v>
      </c>
      <c r="T173" s="78" t="str">
        <f>IF(K173="NV","",IF(VLOOKUP(M173,'R_Häufigkeit_Faktoren UHR'!$B$4:$I$24,8,FALSE)=0,"",VLOOKUP(M173,'R_Häufigkeit_Faktoren UHR'!$B$4:$I$24,8,FALSE)))</f>
        <v/>
      </c>
      <c r="U173" s="156" t="str">
        <f t="shared" si="28"/>
        <v/>
      </c>
      <c r="V173" s="427"/>
      <c r="W173" s="12" t="str">
        <f>IF(T173="","",VLOOKUP(J173,Raumgruppen_Leistungswerte!$B$5:$F$35,5,FALSE))</f>
        <v/>
      </c>
      <c r="X173" s="156" t="str">
        <f t="shared" si="29"/>
        <v/>
      </c>
      <c r="Y173" s="446" t="str">
        <f t="shared" si="30"/>
        <v/>
      </c>
      <c r="Z173" s="158">
        <f t="shared" si="31"/>
        <v>86.904761904761912</v>
      </c>
      <c r="AA173" s="23" t="e">
        <f t="shared" si="32"/>
        <v>#DIV/0!</v>
      </c>
      <c r="AB173" s="445" t="e">
        <f t="shared" si="33"/>
        <v>#DIV/0!</v>
      </c>
      <c r="AC173" s="123"/>
    </row>
    <row r="174" spans="1:29" ht="12" customHeight="1">
      <c r="A174" s="11">
        <v>170</v>
      </c>
      <c r="B174" s="12" t="s">
        <v>367</v>
      </c>
      <c r="C174" s="17">
        <v>4</v>
      </c>
      <c r="D174" s="19" t="s">
        <v>287</v>
      </c>
      <c r="E174" s="17">
        <v>1</v>
      </c>
      <c r="F174" s="316" t="s">
        <v>469</v>
      </c>
      <c r="G174" s="319">
        <v>19.399999999999999</v>
      </c>
      <c r="H174" s="317" t="s">
        <v>287</v>
      </c>
      <c r="I174" s="20" t="s">
        <v>383</v>
      </c>
      <c r="J174" s="21" t="s">
        <v>121</v>
      </c>
      <c r="K174" s="12" t="s">
        <v>173</v>
      </c>
      <c r="L174" s="319" t="str">
        <f t="shared" si="24"/>
        <v/>
      </c>
      <c r="M174" s="22"/>
      <c r="N174" s="79" t="str">
        <f>IF(K174="NV","",IF(VLOOKUP(M174,'R_Häufigkeit_Faktoren UHR'!$B$4:$I$24,7,FALSE)=0,"",VLOOKUP(M174,'R_Häufigkeit_Faktoren UHR'!$B$4:$I$24,7,FALSE)))</f>
        <v/>
      </c>
      <c r="O174" s="3" t="str">
        <f t="shared" si="25"/>
        <v/>
      </c>
      <c r="P174" s="325"/>
      <c r="Q174" s="156" t="str">
        <f>IF(N174="","",VLOOKUP(J174,Raumgruppen_Leistungswerte!$B$5:$F$35,5,FALSE))</f>
        <v/>
      </c>
      <c r="R174" s="157" t="str">
        <f t="shared" si="26"/>
        <v/>
      </c>
      <c r="S174" s="445" t="str">
        <f t="shared" si="27"/>
        <v/>
      </c>
      <c r="T174" s="78" t="str">
        <f>IF(K174="NV","",IF(VLOOKUP(M174,'R_Häufigkeit_Faktoren UHR'!$B$4:$I$24,8,FALSE)=0,"",VLOOKUP(M174,'R_Häufigkeit_Faktoren UHR'!$B$4:$I$24,8,FALSE)))</f>
        <v/>
      </c>
      <c r="U174" s="156" t="str">
        <f t="shared" si="28"/>
        <v/>
      </c>
      <c r="V174" s="427"/>
      <c r="W174" s="12" t="str">
        <f>IF(T174="","",VLOOKUP(J174,Raumgruppen_Leistungswerte!$B$5:$F$35,5,FALSE))</f>
        <v/>
      </c>
      <c r="X174" s="156" t="str">
        <f t="shared" si="29"/>
        <v/>
      </c>
      <c r="Y174" s="446" t="str">
        <f t="shared" si="30"/>
        <v/>
      </c>
      <c r="Z174" s="158" t="str">
        <f t="shared" si="31"/>
        <v/>
      </c>
      <c r="AA174" s="23" t="str">
        <f t="shared" si="32"/>
        <v/>
      </c>
      <c r="AB174" s="445" t="str">
        <f t="shared" si="33"/>
        <v/>
      </c>
      <c r="AC174" s="123"/>
    </row>
    <row r="175" spans="1:29" ht="12" customHeight="1">
      <c r="A175" s="11">
        <v>171</v>
      </c>
      <c r="B175" s="12" t="s">
        <v>367</v>
      </c>
      <c r="C175" s="17">
        <v>4</v>
      </c>
      <c r="D175" s="19" t="s">
        <v>367</v>
      </c>
      <c r="E175" s="17">
        <v>1</v>
      </c>
      <c r="F175" s="316" t="s">
        <v>470</v>
      </c>
      <c r="G175" s="319">
        <v>6</v>
      </c>
      <c r="H175" s="317" t="s">
        <v>381</v>
      </c>
      <c r="I175" s="20" t="s">
        <v>383</v>
      </c>
      <c r="J175" s="21" t="s">
        <v>245</v>
      </c>
      <c r="K175" s="12" t="s">
        <v>14</v>
      </c>
      <c r="L175" s="319">
        <f t="shared" si="24"/>
        <v>6</v>
      </c>
      <c r="M175" s="22">
        <v>5</v>
      </c>
      <c r="N175" s="79">
        <f>IF(K175="NV","",IF(VLOOKUP(M175,'R_Häufigkeit_Faktoren UHR'!$B$4:$I$24,7,FALSE)=0,"",VLOOKUP(M175,'R_Häufigkeit_Faktoren UHR'!$B$4:$I$24,7,FALSE)))</f>
        <v>20.917857142857144</v>
      </c>
      <c r="O175" s="3">
        <f t="shared" si="25"/>
        <v>125.50714285714287</v>
      </c>
      <c r="P175" s="325"/>
      <c r="Q175" s="156">
        <f>IF(N175="","",VLOOKUP(J175,Raumgruppen_Leistungswerte!$B$5:$F$35,5,FALSE))</f>
        <v>0</v>
      </c>
      <c r="R175" s="157" t="e">
        <f t="shared" si="26"/>
        <v>#DIV/0!</v>
      </c>
      <c r="S175" s="445" t="e">
        <f t="shared" si="27"/>
        <v>#DIV/0!</v>
      </c>
      <c r="T175" s="78" t="str">
        <f>IF(K175="NV","",IF(VLOOKUP(M175,'R_Häufigkeit_Faktoren UHR'!$B$4:$I$24,8,FALSE)=0,"",VLOOKUP(M175,'R_Häufigkeit_Faktoren UHR'!$B$4:$I$24,8,FALSE)))</f>
        <v/>
      </c>
      <c r="U175" s="156" t="str">
        <f t="shared" si="28"/>
        <v/>
      </c>
      <c r="V175" s="427"/>
      <c r="W175" s="12" t="str">
        <f>IF(T175="","",VLOOKUP(J175,Raumgruppen_Leistungswerte!$B$5:$F$35,5,FALSE))</f>
        <v/>
      </c>
      <c r="X175" s="156" t="str">
        <f t="shared" si="29"/>
        <v/>
      </c>
      <c r="Y175" s="446" t="str">
        <f t="shared" si="30"/>
        <v/>
      </c>
      <c r="Z175" s="158">
        <f t="shared" si="31"/>
        <v>125.50714285714287</v>
      </c>
      <c r="AA175" s="23" t="e">
        <f t="shared" si="32"/>
        <v>#DIV/0!</v>
      </c>
      <c r="AB175" s="445" t="e">
        <f t="shared" si="33"/>
        <v>#DIV/0!</v>
      </c>
      <c r="AC175" s="123"/>
    </row>
    <row r="176" spans="1:29" ht="12" customHeight="1">
      <c r="A176" s="11">
        <v>172</v>
      </c>
      <c r="B176" s="12" t="s">
        <v>367</v>
      </c>
      <c r="C176" s="17">
        <v>4</v>
      </c>
      <c r="D176" s="19" t="s">
        <v>367</v>
      </c>
      <c r="E176" s="17">
        <v>1</v>
      </c>
      <c r="F176" s="316" t="s">
        <v>384</v>
      </c>
      <c r="G176" s="319">
        <v>10.3</v>
      </c>
      <c r="H176" s="317" t="s">
        <v>385</v>
      </c>
      <c r="I176" s="20" t="s">
        <v>282</v>
      </c>
      <c r="J176" s="21" t="s">
        <v>1</v>
      </c>
      <c r="K176" s="12" t="s">
        <v>14</v>
      </c>
      <c r="L176" s="319">
        <f t="shared" si="24"/>
        <v>10.3</v>
      </c>
      <c r="M176" s="22">
        <v>5</v>
      </c>
      <c r="N176" s="79">
        <f>IF(K176="NV","",IF(VLOOKUP(M176,'R_Häufigkeit_Faktoren UHR'!$B$4:$I$24,7,FALSE)=0,"",VLOOKUP(M176,'R_Häufigkeit_Faktoren UHR'!$B$4:$I$24,7,FALSE)))</f>
        <v>20.917857142857144</v>
      </c>
      <c r="O176" s="3">
        <f t="shared" si="25"/>
        <v>215.45392857142861</v>
      </c>
      <c r="P176" s="325"/>
      <c r="Q176" s="156">
        <f>IF(N176="","",VLOOKUP(J176,Raumgruppen_Leistungswerte!$B$5:$F$35,5,FALSE))</f>
        <v>0</v>
      </c>
      <c r="R176" s="157" t="e">
        <f t="shared" si="26"/>
        <v>#DIV/0!</v>
      </c>
      <c r="S176" s="445" t="e">
        <f t="shared" si="27"/>
        <v>#DIV/0!</v>
      </c>
      <c r="T176" s="78" t="str">
        <f>IF(K176="NV","",IF(VLOOKUP(M176,'R_Häufigkeit_Faktoren UHR'!$B$4:$I$24,8,FALSE)=0,"",VLOOKUP(M176,'R_Häufigkeit_Faktoren UHR'!$B$4:$I$24,8,FALSE)))</f>
        <v/>
      </c>
      <c r="U176" s="156" t="str">
        <f t="shared" si="28"/>
        <v/>
      </c>
      <c r="V176" s="427"/>
      <c r="W176" s="12" t="str">
        <f>IF(T176="","",VLOOKUP(J176,Raumgruppen_Leistungswerte!$B$5:$F$35,5,FALSE))</f>
        <v/>
      </c>
      <c r="X176" s="156" t="str">
        <f t="shared" si="29"/>
        <v/>
      </c>
      <c r="Y176" s="446" t="str">
        <f t="shared" si="30"/>
        <v/>
      </c>
      <c r="Z176" s="158">
        <f t="shared" si="31"/>
        <v>215.45392857142861</v>
      </c>
      <c r="AA176" s="23" t="e">
        <f t="shared" si="32"/>
        <v>#DIV/0!</v>
      </c>
      <c r="AB176" s="445" t="e">
        <f t="shared" si="33"/>
        <v>#DIV/0!</v>
      </c>
      <c r="AC176" s="123"/>
    </row>
    <row r="177" spans="1:29" ht="12" customHeight="1">
      <c r="A177" s="11">
        <v>173</v>
      </c>
      <c r="B177" s="12" t="s">
        <v>367</v>
      </c>
      <c r="C177" s="17">
        <v>4</v>
      </c>
      <c r="D177" s="19" t="s">
        <v>367</v>
      </c>
      <c r="E177" s="17">
        <v>1</v>
      </c>
      <c r="F177" s="316" t="s">
        <v>386</v>
      </c>
      <c r="G177" s="319">
        <v>10.1</v>
      </c>
      <c r="H177" s="317" t="s">
        <v>387</v>
      </c>
      <c r="I177" s="20" t="s">
        <v>282</v>
      </c>
      <c r="J177" s="21" t="s">
        <v>1</v>
      </c>
      <c r="K177" s="12" t="s">
        <v>14</v>
      </c>
      <c r="L177" s="319">
        <f t="shared" si="24"/>
        <v>10.1</v>
      </c>
      <c r="M177" s="22">
        <v>5</v>
      </c>
      <c r="N177" s="79">
        <f>IF(K177="NV","",IF(VLOOKUP(M177,'R_Häufigkeit_Faktoren UHR'!$B$4:$I$24,7,FALSE)=0,"",VLOOKUP(M177,'R_Häufigkeit_Faktoren UHR'!$B$4:$I$24,7,FALSE)))</f>
        <v>20.917857142857144</v>
      </c>
      <c r="O177" s="3">
        <f t="shared" si="25"/>
        <v>211.27035714285716</v>
      </c>
      <c r="P177" s="325"/>
      <c r="Q177" s="156">
        <f>IF(N177="","",VLOOKUP(J177,Raumgruppen_Leistungswerte!$B$5:$F$35,5,FALSE))</f>
        <v>0</v>
      </c>
      <c r="R177" s="157" t="e">
        <f t="shared" si="26"/>
        <v>#DIV/0!</v>
      </c>
      <c r="S177" s="445" t="e">
        <f t="shared" si="27"/>
        <v>#DIV/0!</v>
      </c>
      <c r="T177" s="78" t="str">
        <f>IF(K177="NV","",IF(VLOOKUP(M177,'R_Häufigkeit_Faktoren UHR'!$B$4:$I$24,8,FALSE)=0,"",VLOOKUP(M177,'R_Häufigkeit_Faktoren UHR'!$B$4:$I$24,8,FALSE)))</f>
        <v/>
      </c>
      <c r="U177" s="156" t="str">
        <f t="shared" si="28"/>
        <v/>
      </c>
      <c r="V177" s="427"/>
      <c r="W177" s="12" t="str">
        <f>IF(T177="","",VLOOKUP(J177,Raumgruppen_Leistungswerte!$B$5:$F$35,5,FALSE))</f>
        <v/>
      </c>
      <c r="X177" s="156" t="str">
        <f t="shared" si="29"/>
        <v/>
      </c>
      <c r="Y177" s="446" t="str">
        <f t="shared" si="30"/>
        <v/>
      </c>
      <c r="Z177" s="158">
        <f t="shared" si="31"/>
        <v>211.27035714285716</v>
      </c>
      <c r="AA177" s="23" t="e">
        <f t="shared" si="32"/>
        <v>#DIV/0!</v>
      </c>
      <c r="AB177" s="445" t="e">
        <f t="shared" si="33"/>
        <v>#DIV/0!</v>
      </c>
      <c r="AC177" s="123"/>
    </row>
    <row r="178" spans="1:29" ht="12" customHeight="1">
      <c r="A178" s="11">
        <v>174</v>
      </c>
      <c r="B178" s="12" t="s">
        <v>367</v>
      </c>
      <c r="C178" s="17">
        <v>4</v>
      </c>
      <c r="D178" s="19" t="s">
        <v>367</v>
      </c>
      <c r="E178" s="17">
        <v>1</v>
      </c>
      <c r="F178" s="316" t="s">
        <v>424</v>
      </c>
      <c r="G178" s="319">
        <v>5.8</v>
      </c>
      <c r="H178" s="317" t="s">
        <v>425</v>
      </c>
      <c r="I178" s="20" t="s">
        <v>282</v>
      </c>
      <c r="J178" s="15" t="s">
        <v>1</v>
      </c>
      <c r="K178" s="12" t="s">
        <v>14</v>
      </c>
      <c r="L178" s="319">
        <f t="shared" si="24"/>
        <v>5.8</v>
      </c>
      <c r="M178" s="22">
        <v>5</v>
      </c>
      <c r="N178" s="79">
        <f>IF(K178="NV","",IF(VLOOKUP(M178,'R_Häufigkeit_Faktoren UHR'!$B$4:$I$24,7,FALSE)=0,"",VLOOKUP(M178,'R_Häufigkeit_Faktoren UHR'!$B$4:$I$24,7,FALSE)))</f>
        <v>20.917857142857144</v>
      </c>
      <c r="O178" s="3">
        <f t="shared" si="25"/>
        <v>121.32357142857144</v>
      </c>
      <c r="P178" s="325"/>
      <c r="Q178" s="156">
        <f>IF(N178="","",VLOOKUP(J178,Raumgruppen_Leistungswerte!$B$5:$F$35,5,FALSE))</f>
        <v>0</v>
      </c>
      <c r="R178" s="157" t="e">
        <f t="shared" si="26"/>
        <v>#DIV/0!</v>
      </c>
      <c r="S178" s="445" t="e">
        <f t="shared" si="27"/>
        <v>#DIV/0!</v>
      </c>
      <c r="T178" s="78" t="str">
        <f>IF(K178="NV","",IF(VLOOKUP(M178,'R_Häufigkeit_Faktoren UHR'!$B$4:$I$24,8,FALSE)=0,"",VLOOKUP(M178,'R_Häufigkeit_Faktoren UHR'!$B$4:$I$24,8,FALSE)))</f>
        <v/>
      </c>
      <c r="U178" s="156" t="str">
        <f t="shared" si="28"/>
        <v/>
      </c>
      <c r="V178" s="427"/>
      <c r="W178" s="12" t="str">
        <f>IF(T178="","",VLOOKUP(J178,Raumgruppen_Leistungswerte!$B$5:$F$35,5,FALSE))</f>
        <v/>
      </c>
      <c r="X178" s="156" t="str">
        <f t="shared" si="29"/>
        <v/>
      </c>
      <c r="Y178" s="446" t="str">
        <f t="shared" si="30"/>
        <v/>
      </c>
      <c r="Z178" s="158">
        <f t="shared" si="31"/>
        <v>121.32357142857144</v>
      </c>
      <c r="AA178" s="23" t="e">
        <f t="shared" si="32"/>
        <v>#DIV/0!</v>
      </c>
      <c r="AB178" s="445" t="e">
        <f t="shared" si="33"/>
        <v>#DIV/0!</v>
      </c>
      <c r="AC178" s="123"/>
    </row>
    <row r="179" spans="1:29" ht="12" customHeight="1">
      <c r="A179" s="11">
        <v>175</v>
      </c>
      <c r="B179" s="12" t="s">
        <v>367</v>
      </c>
      <c r="C179" s="17">
        <v>4</v>
      </c>
      <c r="D179" s="19" t="s">
        <v>367</v>
      </c>
      <c r="E179" s="17">
        <v>1</v>
      </c>
      <c r="F179" s="316" t="s">
        <v>404</v>
      </c>
      <c r="G179" s="319">
        <v>3.6</v>
      </c>
      <c r="H179" s="317" t="s">
        <v>405</v>
      </c>
      <c r="I179" s="20" t="s">
        <v>282</v>
      </c>
      <c r="J179" s="21" t="s">
        <v>1</v>
      </c>
      <c r="K179" s="12" t="s">
        <v>14</v>
      </c>
      <c r="L179" s="319">
        <f t="shared" si="24"/>
        <v>3.6</v>
      </c>
      <c r="M179" s="22">
        <v>5</v>
      </c>
      <c r="N179" s="79">
        <f>IF(K179="NV","",IF(VLOOKUP(M179,'R_Häufigkeit_Faktoren UHR'!$B$4:$I$24,7,FALSE)=0,"",VLOOKUP(M179,'R_Häufigkeit_Faktoren UHR'!$B$4:$I$24,7,FALSE)))</f>
        <v>20.917857142857144</v>
      </c>
      <c r="O179" s="3">
        <f t="shared" si="25"/>
        <v>75.304285714285726</v>
      </c>
      <c r="P179" s="325"/>
      <c r="Q179" s="156">
        <f>IF(N179="","",VLOOKUP(J179,Raumgruppen_Leistungswerte!$B$5:$F$35,5,FALSE))</f>
        <v>0</v>
      </c>
      <c r="R179" s="157" t="e">
        <f t="shared" si="26"/>
        <v>#DIV/0!</v>
      </c>
      <c r="S179" s="445" t="e">
        <f t="shared" si="27"/>
        <v>#DIV/0!</v>
      </c>
      <c r="T179" s="78" t="str">
        <f>IF(K179="NV","",IF(VLOOKUP(M179,'R_Häufigkeit_Faktoren UHR'!$B$4:$I$24,8,FALSE)=0,"",VLOOKUP(M179,'R_Häufigkeit_Faktoren UHR'!$B$4:$I$24,8,FALSE)))</f>
        <v/>
      </c>
      <c r="U179" s="156" t="str">
        <f t="shared" si="28"/>
        <v/>
      </c>
      <c r="V179" s="427"/>
      <c r="W179" s="12" t="str">
        <f>IF(T179="","",VLOOKUP(J179,Raumgruppen_Leistungswerte!$B$5:$F$35,5,FALSE))</f>
        <v/>
      </c>
      <c r="X179" s="156" t="str">
        <f t="shared" si="29"/>
        <v/>
      </c>
      <c r="Y179" s="446" t="str">
        <f t="shared" si="30"/>
        <v/>
      </c>
      <c r="Z179" s="158">
        <f t="shared" si="31"/>
        <v>75.304285714285726</v>
      </c>
      <c r="AA179" s="23" t="e">
        <f t="shared" si="32"/>
        <v>#DIV/0!</v>
      </c>
      <c r="AB179" s="445" t="e">
        <f t="shared" si="33"/>
        <v>#DIV/0!</v>
      </c>
      <c r="AC179" s="123"/>
    </row>
    <row r="180" spans="1:29" ht="12" customHeight="1">
      <c r="A180" s="11">
        <v>176</v>
      </c>
      <c r="B180" s="12" t="s">
        <v>367</v>
      </c>
      <c r="C180" s="17">
        <v>4</v>
      </c>
      <c r="D180" s="19" t="s">
        <v>416</v>
      </c>
      <c r="E180" s="17">
        <v>1</v>
      </c>
      <c r="F180" s="316" t="s">
        <v>423</v>
      </c>
      <c r="G180" s="319">
        <v>10.4</v>
      </c>
      <c r="H180" s="317" t="s">
        <v>418</v>
      </c>
      <c r="I180" s="14" t="s">
        <v>383</v>
      </c>
      <c r="J180" s="21" t="s">
        <v>121</v>
      </c>
      <c r="K180" s="12" t="s">
        <v>173</v>
      </c>
      <c r="L180" s="319" t="str">
        <f t="shared" si="24"/>
        <v/>
      </c>
      <c r="M180" s="22"/>
      <c r="N180" s="78" t="str">
        <f>IF(K180="NV","",IF(VLOOKUP(M180,'R_Häufigkeit_Faktoren UHR'!$B$4:$I$24,7,FALSE)=0,"",VLOOKUP(M180,'R_Häufigkeit_Faktoren UHR'!$B$4:$I$24,7,FALSE)))</f>
        <v/>
      </c>
      <c r="O180" s="3" t="str">
        <f t="shared" si="25"/>
        <v/>
      </c>
      <c r="P180" s="325"/>
      <c r="Q180" s="156" t="str">
        <f>IF(N180="","",VLOOKUP(J180,Raumgruppen_Leistungswerte!$B$5:$F$35,5,FALSE))</f>
        <v/>
      </c>
      <c r="R180" s="157" t="str">
        <f t="shared" si="26"/>
        <v/>
      </c>
      <c r="S180" s="445" t="str">
        <f t="shared" si="27"/>
        <v/>
      </c>
      <c r="T180" s="78" t="str">
        <f>IF(K180="NV","",IF(VLOOKUP(M180,'R_Häufigkeit_Faktoren UHR'!$B$4:$I$24,8,FALSE)=0,"",VLOOKUP(M180,'R_Häufigkeit_Faktoren UHR'!$B$4:$I$24,8,FALSE)))</f>
        <v/>
      </c>
      <c r="U180" s="156" t="str">
        <f t="shared" si="28"/>
        <v/>
      </c>
      <c r="V180" s="427"/>
      <c r="W180" s="12" t="str">
        <f>IF(T180="","",VLOOKUP(J180,Raumgruppen_Leistungswerte!$B$5:$F$35,5,FALSE))</f>
        <v/>
      </c>
      <c r="X180" s="156" t="str">
        <f t="shared" si="29"/>
        <v/>
      </c>
      <c r="Y180" s="446" t="str">
        <f t="shared" si="30"/>
        <v/>
      </c>
      <c r="Z180" s="158" t="str">
        <f t="shared" si="31"/>
        <v/>
      </c>
      <c r="AA180" s="23" t="str">
        <f t="shared" si="32"/>
        <v/>
      </c>
      <c r="AB180" s="445" t="str">
        <f t="shared" si="33"/>
        <v/>
      </c>
      <c r="AC180" s="123"/>
    </row>
    <row r="181" spans="1:29" ht="12" customHeight="1">
      <c r="A181" s="11">
        <v>177</v>
      </c>
      <c r="B181" s="12" t="s">
        <v>367</v>
      </c>
      <c r="C181" s="17">
        <v>4</v>
      </c>
      <c r="D181" s="19" t="s">
        <v>287</v>
      </c>
      <c r="E181" s="17">
        <v>1</v>
      </c>
      <c r="F181" s="316" t="s">
        <v>417</v>
      </c>
      <c r="G181" s="319">
        <v>4.7</v>
      </c>
      <c r="H181" s="317" t="s">
        <v>444</v>
      </c>
      <c r="I181" s="14" t="s">
        <v>383</v>
      </c>
      <c r="J181" s="21" t="s">
        <v>121</v>
      </c>
      <c r="K181" s="12" t="s">
        <v>173</v>
      </c>
      <c r="L181" s="319" t="str">
        <f t="shared" si="24"/>
        <v/>
      </c>
      <c r="M181" s="22"/>
      <c r="N181" s="78" t="str">
        <f>IF(K181="NV","",IF(VLOOKUP(M181,'R_Häufigkeit_Faktoren UHR'!$B$4:$I$24,7,FALSE)=0,"",VLOOKUP(M181,'R_Häufigkeit_Faktoren UHR'!$B$4:$I$24,7,FALSE)))</f>
        <v/>
      </c>
      <c r="O181" s="3" t="str">
        <f t="shared" si="25"/>
        <v/>
      </c>
      <c r="P181" s="325"/>
      <c r="Q181" s="156" t="str">
        <f>IF(N181="","",VLOOKUP(J181,Raumgruppen_Leistungswerte!$B$5:$F$35,5,FALSE))</f>
        <v/>
      </c>
      <c r="R181" s="157" t="str">
        <f t="shared" si="26"/>
        <v/>
      </c>
      <c r="S181" s="445" t="str">
        <f t="shared" si="27"/>
        <v/>
      </c>
      <c r="T181" s="78" t="str">
        <f>IF(K181="NV","",IF(VLOOKUP(M181,'R_Häufigkeit_Faktoren UHR'!$B$4:$I$24,8,FALSE)=0,"",VLOOKUP(M181,'R_Häufigkeit_Faktoren UHR'!$B$4:$I$24,8,FALSE)))</f>
        <v/>
      </c>
      <c r="U181" s="156" t="str">
        <f t="shared" si="28"/>
        <v/>
      </c>
      <c r="V181" s="427"/>
      <c r="W181" s="12" t="str">
        <f>IF(T181="","",VLOOKUP(J181,Raumgruppen_Leistungswerte!$B$5:$F$35,5,FALSE))</f>
        <v/>
      </c>
      <c r="X181" s="156" t="str">
        <f t="shared" si="29"/>
        <v/>
      </c>
      <c r="Y181" s="446" t="str">
        <f t="shared" si="30"/>
        <v/>
      </c>
      <c r="Z181" s="158" t="str">
        <f t="shared" si="31"/>
        <v/>
      </c>
      <c r="AA181" s="23" t="str">
        <f t="shared" si="32"/>
        <v/>
      </c>
      <c r="AB181" s="445" t="str">
        <f t="shared" si="33"/>
        <v/>
      </c>
      <c r="AC181" s="123"/>
    </row>
    <row r="182" spans="1:29" ht="12" customHeight="1">
      <c r="A182" s="11">
        <v>178</v>
      </c>
      <c r="B182" s="12" t="s">
        <v>367</v>
      </c>
      <c r="C182" s="17">
        <v>4</v>
      </c>
      <c r="D182" s="19" t="s">
        <v>367</v>
      </c>
      <c r="E182" s="17">
        <v>1</v>
      </c>
      <c r="F182" s="316" t="s">
        <v>407</v>
      </c>
      <c r="G182" s="319">
        <v>1.9</v>
      </c>
      <c r="H182" s="317" t="s">
        <v>428</v>
      </c>
      <c r="I182" s="14" t="s">
        <v>282</v>
      </c>
      <c r="J182" s="21" t="s">
        <v>251</v>
      </c>
      <c r="K182" s="12" t="s">
        <v>14</v>
      </c>
      <c r="L182" s="319">
        <f t="shared" si="24"/>
        <v>1.9</v>
      </c>
      <c r="M182" s="22">
        <v>1</v>
      </c>
      <c r="N182" s="78">
        <f>IF(K182="NV","",IF(VLOOKUP(M182,'R_Häufigkeit_Faktoren UHR'!$B$4:$I$24,7,FALSE)=0,"",VLOOKUP(M182,'R_Häufigkeit_Faktoren UHR'!$B$4:$I$24,7,FALSE)))</f>
        <v>4.3452380952380958</v>
      </c>
      <c r="O182" s="3">
        <f t="shared" si="25"/>
        <v>8.2559523809523814</v>
      </c>
      <c r="P182" s="325"/>
      <c r="Q182" s="156">
        <f>IF(N182="","",VLOOKUP(J182,Raumgruppen_Leistungswerte!$B$5:$F$35,5,FALSE))</f>
        <v>0</v>
      </c>
      <c r="R182" s="157" t="e">
        <f t="shared" si="26"/>
        <v>#DIV/0!</v>
      </c>
      <c r="S182" s="445" t="e">
        <f t="shared" si="27"/>
        <v>#DIV/0!</v>
      </c>
      <c r="T182" s="78" t="str">
        <f>IF(K182="NV","",IF(VLOOKUP(M182,'R_Häufigkeit_Faktoren UHR'!$B$4:$I$24,8,FALSE)=0,"",VLOOKUP(M182,'R_Häufigkeit_Faktoren UHR'!$B$4:$I$24,8,FALSE)))</f>
        <v/>
      </c>
      <c r="U182" s="156" t="str">
        <f t="shared" si="28"/>
        <v/>
      </c>
      <c r="V182" s="427"/>
      <c r="W182" s="12" t="str">
        <f>IF(T182="","",VLOOKUP(J182,Raumgruppen_Leistungswerte!$B$5:$F$35,5,FALSE))</f>
        <v/>
      </c>
      <c r="X182" s="156" t="str">
        <f t="shared" si="29"/>
        <v/>
      </c>
      <c r="Y182" s="446" t="str">
        <f t="shared" si="30"/>
        <v/>
      </c>
      <c r="Z182" s="158">
        <f t="shared" si="31"/>
        <v>8.2559523809523814</v>
      </c>
      <c r="AA182" s="23" t="e">
        <f t="shared" si="32"/>
        <v>#DIV/0!</v>
      </c>
      <c r="AB182" s="445" t="e">
        <f t="shared" si="33"/>
        <v>#DIV/0!</v>
      </c>
      <c r="AC182" s="123"/>
    </row>
    <row r="183" spans="1:29" ht="12" customHeight="1">
      <c r="A183" s="11">
        <v>179</v>
      </c>
      <c r="B183" s="12" t="s">
        <v>367</v>
      </c>
      <c r="C183" s="17">
        <v>4</v>
      </c>
      <c r="D183" s="19" t="s">
        <v>272</v>
      </c>
      <c r="E183" s="17">
        <v>1</v>
      </c>
      <c r="F183" s="316" t="s">
        <v>333</v>
      </c>
      <c r="G183" s="319">
        <v>21.2</v>
      </c>
      <c r="H183" s="317" t="s">
        <v>365</v>
      </c>
      <c r="I183" s="20" t="s">
        <v>335</v>
      </c>
      <c r="J183" s="21" t="s">
        <v>240</v>
      </c>
      <c r="K183" s="12" t="s">
        <v>14</v>
      </c>
      <c r="L183" s="319">
        <f t="shared" si="24"/>
        <v>21.2</v>
      </c>
      <c r="M183" s="22">
        <v>3</v>
      </c>
      <c r="N183" s="78">
        <f>IF(K183="NV","",IF(VLOOKUP(M183,'R_Häufigkeit_Faktoren UHR'!$B$4:$I$24,7,FALSE)=0,"",VLOOKUP(M183,'R_Häufigkeit_Faktoren UHR'!$B$4:$I$24,7,FALSE)))</f>
        <v>13.035714285714286</v>
      </c>
      <c r="O183" s="3">
        <f t="shared" si="25"/>
        <v>276.35714285714289</v>
      </c>
      <c r="P183" s="325"/>
      <c r="Q183" s="156">
        <f>IF(N183="","",VLOOKUP(J183,Raumgruppen_Leistungswerte!$B$5:$F$35,5,FALSE))</f>
        <v>0</v>
      </c>
      <c r="R183" s="157" t="e">
        <f t="shared" si="26"/>
        <v>#DIV/0!</v>
      </c>
      <c r="S183" s="445" t="e">
        <f t="shared" si="27"/>
        <v>#DIV/0!</v>
      </c>
      <c r="T183" s="78" t="str">
        <f>IF(K183="NV","",IF(VLOOKUP(M183,'R_Häufigkeit_Faktoren UHR'!$B$4:$I$24,8,FALSE)=0,"",VLOOKUP(M183,'R_Häufigkeit_Faktoren UHR'!$B$4:$I$24,8,FALSE)))</f>
        <v/>
      </c>
      <c r="U183" s="156" t="str">
        <f t="shared" si="28"/>
        <v/>
      </c>
      <c r="V183" s="427"/>
      <c r="W183" s="12" t="str">
        <f>IF(T183="","",VLOOKUP(J183,Raumgruppen_Leistungswerte!$B$5:$F$35,5,FALSE))</f>
        <v/>
      </c>
      <c r="X183" s="156" t="str">
        <f t="shared" si="29"/>
        <v/>
      </c>
      <c r="Y183" s="446" t="str">
        <f t="shared" si="30"/>
        <v/>
      </c>
      <c r="Z183" s="158">
        <f t="shared" si="31"/>
        <v>276.35714285714289</v>
      </c>
      <c r="AA183" s="23" t="e">
        <f t="shared" si="32"/>
        <v>#DIV/0!</v>
      </c>
      <c r="AB183" s="445" t="e">
        <f t="shared" si="33"/>
        <v>#DIV/0!</v>
      </c>
      <c r="AC183" s="123"/>
    </row>
    <row r="184" spans="1:29" ht="12" customHeight="1">
      <c r="A184" s="11">
        <v>180</v>
      </c>
      <c r="B184" s="12" t="s">
        <v>367</v>
      </c>
      <c r="C184" s="17">
        <v>4</v>
      </c>
      <c r="D184" s="19" t="s">
        <v>287</v>
      </c>
      <c r="E184" s="17">
        <v>1</v>
      </c>
      <c r="F184" s="316" t="s">
        <v>336</v>
      </c>
      <c r="G184" s="319">
        <v>5.8</v>
      </c>
      <c r="H184" s="317" t="s">
        <v>337</v>
      </c>
      <c r="I184" s="20" t="s">
        <v>335</v>
      </c>
      <c r="J184" s="21" t="s">
        <v>242</v>
      </c>
      <c r="K184" s="12" t="s">
        <v>14</v>
      </c>
      <c r="L184" s="319">
        <f t="shared" si="24"/>
        <v>5.8</v>
      </c>
      <c r="M184" s="22">
        <v>5</v>
      </c>
      <c r="N184" s="78">
        <f>IF(K184="NV","",IF(VLOOKUP(M184,'R_Häufigkeit_Faktoren UHR'!$B$4:$I$24,7,FALSE)=0,"",VLOOKUP(M184,'R_Häufigkeit_Faktoren UHR'!$B$4:$I$24,7,FALSE)))</f>
        <v>20.917857142857144</v>
      </c>
      <c r="O184" s="3">
        <f t="shared" si="25"/>
        <v>121.32357142857144</v>
      </c>
      <c r="P184" s="325"/>
      <c r="Q184" s="156">
        <f>IF(N184="","",VLOOKUP(J184,Raumgruppen_Leistungswerte!$B$5:$F$35,5,FALSE))</f>
        <v>0</v>
      </c>
      <c r="R184" s="157" t="e">
        <f t="shared" si="26"/>
        <v>#DIV/0!</v>
      </c>
      <c r="S184" s="445" t="e">
        <f t="shared" si="27"/>
        <v>#DIV/0!</v>
      </c>
      <c r="T184" s="78" t="str">
        <f>IF(K184="NV","",IF(VLOOKUP(M184,'R_Häufigkeit_Faktoren UHR'!$B$4:$I$24,8,FALSE)=0,"",VLOOKUP(M184,'R_Häufigkeit_Faktoren UHR'!$B$4:$I$24,8,FALSE)))</f>
        <v/>
      </c>
      <c r="U184" s="156" t="str">
        <f t="shared" si="28"/>
        <v/>
      </c>
      <c r="V184" s="427"/>
      <c r="W184" s="12" t="str">
        <f>IF(T184="","",VLOOKUP(J184,Raumgruppen_Leistungswerte!$B$5:$F$35,5,FALSE))</f>
        <v/>
      </c>
      <c r="X184" s="156" t="str">
        <f t="shared" si="29"/>
        <v/>
      </c>
      <c r="Y184" s="446" t="str">
        <f t="shared" si="30"/>
        <v/>
      </c>
      <c r="Z184" s="158">
        <f t="shared" si="31"/>
        <v>121.32357142857144</v>
      </c>
      <c r="AA184" s="23" t="e">
        <f t="shared" si="32"/>
        <v>#DIV/0!</v>
      </c>
      <c r="AB184" s="445" t="e">
        <f t="shared" si="33"/>
        <v>#DIV/0!</v>
      </c>
      <c r="AC184" s="123"/>
    </row>
    <row r="185" spans="1:29" ht="12" customHeight="1">
      <c r="A185" s="11">
        <v>181</v>
      </c>
      <c r="B185" s="12" t="s">
        <v>367</v>
      </c>
      <c r="C185" s="17">
        <v>4</v>
      </c>
      <c r="D185" s="19" t="s">
        <v>272</v>
      </c>
      <c r="E185" s="17">
        <v>1</v>
      </c>
      <c r="F185" s="316" t="s">
        <v>338</v>
      </c>
      <c r="G185" s="319">
        <v>14.5</v>
      </c>
      <c r="H185" s="317" t="s">
        <v>389</v>
      </c>
      <c r="I185" s="14" t="s">
        <v>335</v>
      </c>
      <c r="J185" s="21" t="s">
        <v>238</v>
      </c>
      <c r="K185" s="12" t="s">
        <v>14</v>
      </c>
      <c r="L185" s="319">
        <f t="shared" si="24"/>
        <v>14.5</v>
      </c>
      <c r="M185" s="22">
        <v>5</v>
      </c>
      <c r="N185" s="78">
        <f>IF(K185="NV","",IF(VLOOKUP(M185,'R_Häufigkeit_Faktoren UHR'!$B$4:$I$24,7,FALSE)=0,"",VLOOKUP(M185,'R_Häufigkeit_Faktoren UHR'!$B$4:$I$24,7,FALSE)))</f>
        <v>20.917857142857144</v>
      </c>
      <c r="O185" s="3">
        <f t="shared" si="25"/>
        <v>303.30892857142862</v>
      </c>
      <c r="P185" s="325"/>
      <c r="Q185" s="156">
        <f>IF(N185="","",VLOOKUP(J185,Raumgruppen_Leistungswerte!$B$5:$F$35,5,FALSE))</f>
        <v>0</v>
      </c>
      <c r="R185" s="157" t="e">
        <f t="shared" si="26"/>
        <v>#DIV/0!</v>
      </c>
      <c r="S185" s="445" t="e">
        <f t="shared" si="27"/>
        <v>#DIV/0!</v>
      </c>
      <c r="T185" s="78" t="str">
        <f>IF(K185="NV","",IF(VLOOKUP(M185,'R_Häufigkeit_Faktoren UHR'!$B$4:$I$24,8,FALSE)=0,"",VLOOKUP(M185,'R_Häufigkeit_Faktoren UHR'!$B$4:$I$24,8,FALSE)))</f>
        <v/>
      </c>
      <c r="U185" s="156" t="str">
        <f t="shared" si="28"/>
        <v/>
      </c>
      <c r="V185" s="427"/>
      <c r="W185" s="12" t="str">
        <f>IF(T185="","",VLOOKUP(J185,Raumgruppen_Leistungswerte!$B$5:$F$35,5,FALSE))</f>
        <v/>
      </c>
      <c r="X185" s="156" t="str">
        <f t="shared" si="29"/>
        <v/>
      </c>
      <c r="Y185" s="446" t="str">
        <f t="shared" si="30"/>
        <v/>
      </c>
      <c r="Z185" s="158">
        <f t="shared" si="31"/>
        <v>303.30892857142862</v>
      </c>
      <c r="AA185" s="23" t="e">
        <f t="shared" si="32"/>
        <v>#DIV/0!</v>
      </c>
      <c r="AB185" s="445" t="e">
        <f t="shared" si="33"/>
        <v>#DIV/0!</v>
      </c>
      <c r="AC185" s="123"/>
    </row>
    <row r="186" spans="1:29" ht="12" customHeight="1">
      <c r="A186" s="11">
        <v>182</v>
      </c>
      <c r="B186" s="12" t="s">
        <v>367</v>
      </c>
      <c r="C186" s="17">
        <v>5</v>
      </c>
      <c r="D186" s="19" t="s">
        <v>367</v>
      </c>
      <c r="E186" s="17">
        <v>1</v>
      </c>
      <c r="F186" s="316" t="s">
        <v>370</v>
      </c>
      <c r="G186" s="319">
        <v>95.4</v>
      </c>
      <c r="H186" s="317" t="s">
        <v>13</v>
      </c>
      <c r="I186" s="14" t="s">
        <v>371</v>
      </c>
      <c r="J186" s="21" t="s">
        <v>238</v>
      </c>
      <c r="K186" s="12" t="s">
        <v>14</v>
      </c>
      <c r="L186" s="319">
        <f t="shared" si="24"/>
        <v>95.4</v>
      </c>
      <c r="M186" s="22">
        <v>5</v>
      </c>
      <c r="N186" s="78">
        <f>IF(K186="NV","",IF(VLOOKUP(M186,'R_Häufigkeit_Faktoren UHR'!$B$4:$I$24,7,FALSE)=0,"",VLOOKUP(M186,'R_Häufigkeit_Faktoren UHR'!$B$4:$I$24,7,FALSE)))</f>
        <v>20.917857142857144</v>
      </c>
      <c r="O186" s="3">
        <f t="shared" si="25"/>
        <v>1995.5635714285718</v>
      </c>
      <c r="P186" s="325"/>
      <c r="Q186" s="156">
        <f>IF(N186="","",VLOOKUP(J186,Raumgruppen_Leistungswerte!$B$5:$F$35,5,FALSE))</f>
        <v>0</v>
      </c>
      <c r="R186" s="157" t="e">
        <f t="shared" si="26"/>
        <v>#DIV/0!</v>
      </c>
      <c r="S186" s="445" t="e">
        <f t="shared" si="27"/>
        <v>#DIV/0!</v>
      </c>
      <c r="T186" s="78" t="str">
        <f>IF(K186="NV","",IF(VLOOKUP(M186,'R_Häufigkeit_Faktoren UHR'!$B$4:$I$24,8,FALSE)=0,"",VLOOKUP(M186,'R_Häufigkeit_Faktoren UHR'!$B$4:$I$24,8,FALSE)))</f>
        <v/>
      </c>
      <c r="U186" s="156" t="str">
        <f t="shared" si="28"/>
        <v/>
      </c>
      <c r="V186" s="427"/>
      <c r="W186" s="12" t="str">
        <f>IF(T186="","",VLOOKUP(J186,Raumgruppen_Leistungswerte!$B$5:$F$35,5,FALSE))</f>
        <v/>
      </c>
      <c r="X186" s="156" t="str">
        <f t="shared" si="29"/>
        <v/>
      </c>
      <c r="Y186" s="446" t="str">
        <f t="shared" si="30"/>
        <v/>
      </c>
      <c r="Z186" s="158">
        <f t="shared" si="31"/>
        <v>1995.5635714285718</v>
      </c>
      <c r="AA186" s="23" t="e">
        <f t="shared" si="32"/>
        <v>#DIV/0!</v>
      </c>
      <c r="AB186" s="445" t="e">
        <f t="shared" si="33"/>
        <v>#DIV/0!</v>
      </c>
      <c r="AC186" s="123"/>
    </row>
    <row r="187" spans="1:29" ht="12" customHeight="1">
      <c r="A187" s="11">
        <v>183</v>
      </c>
      <c r="B187" s="12" t="s">
        <v>367</v>
      </c>
      <c r="C187" s="17">
        <v>5</v>
      </c>
      <c r="D187" s="19" t="s">
        <v>390</v>
      </c>
      <c r="E187" s="17">
        <v>1</v>
      </c>
      <c r="F187" s="316" t="s">
        <v>457</v>
      </c>
      <c r="G187" s="319">
        <v>27</v>
      </c>
      <c r="H187" s="317" t="s">
        <v>415</v>
      </c>
      <c r="I187" s="14" t="s">
        <v>371</v>
      </c>
      <c r="J187" s="21" t="s">
        <v>245</v>
      </c>
      <c r="K187" s="12" t="s">
        <v>14</v>
      </c>
      <c r="L187" s="319">
        <f t="shared" si="24"/>
        <v>27</v>
      </c>
      <c r="M187" s="22">
        <v>5</v>
      </c>
      <c r="N187" s="78">
        <f>IF(K187="NV","",IF(VLOOKUP(M187,'R_Häufigkeit_Faktoren UHR'!$B$4:$I$24,7,FALSE)=0,"",VLOOKUP(M187,'R_Häufigkeit_Faktoren UHR'!$B$4:$I$24,7,FALSE)))</f>
        <v>20.917857142857144</v>
      </c>
      <c r="O187" s="3">
        <f t="shared" si="25"/>
        <v>564.78214285714284</v>
      </c>
      <c r="P187" s="325"/>
      <c r="Q187" s="156">
        <f>IF(N187="","",VLOOKUP(J187,Raumgruppen_Leistungswerte!$B$5:$F$35,5,FALSE))</f>
        <v>0</v>
      </c>
      <c r="R187" s="157" t="e">
        <f t="shared" si="26"/>
        <v>#DIV/0!</v>
      </c>
      <c r="S187" s="445" t="e">
        <f t="shared" si="27"/>
        <v>#DIV/0!</v>
      </c>
      <c r="T187" s="78" t="str">
        <f>IF(K187="NV","",IF(VLOOKUP(M187,'R_Häufigkeit_Faktoren UHR'!$B$4:$I$24,8,FALSE)=0,"",VLOOKUP(M187,'R_Häufigkeit_Faktoren UHR'!$B$4:$I$24,8,FALSE)))</f>
        <v/>
      </c>
      <c r="U187" s="156" t="str">
        <f t="shared" si="28"/>
        <v/>
      </c>
      <c r="V187" s="427"/>
      <c r="W187" s="12" t="str">
        <f>IF(T187="","",VLOOKUP(J187,Raumgruppen_Leistungswerte!$B$5:$F$35,5,FALSE))</f>
        <v/>
      </c>
      <c r="X187" s="156" t="str">
        <f t="shared" si="29"/>
        <v/>
      </c>
      <c r="Y187" s="446" t="str">
        <f t="shared" si="30"/>
        <v/>
      </c>
      <c r="Z187" s="158">
        <f t="shared" si="31"/>
        <v>564.78214285714284</v>
      </c>
      <c r="AA187" s="23" t="e">
        <f t="shared" si="32"/>
        <v>#DIV/0!</v>
      </c>
      <c r="AB187" s="445" t="e">
        <f t="shared" si="33"/>
        <v>#DIV/0!</v>
      </c>
      <c r="AC187" s="123"/>
    </row>
    <row r="188" spans="1:29" ht="12" customHeight="1">
      <c r="A188" s="11">
        <v>184</v>
      </c>
      <c r="B188" s="12" t="s">
        <v>367</v>
      </c>
      <c r="C188" s="17">
        <v>5</v>
      </c>
      <c r="D188" s="19" t="s">
        <v>471</v>
      </c>
      <c r="E188" s="17">
        <v>1</v>
      </c>
      <c r="F188" s="316" t="s">
        <v>472</v>
      </c>
      <c r="G188" s="319">
        <v>16</v>
      </c>
      <c r="H188" s="19" t="s">
        <v>410</v>
      </c>
      <c r="I188" s="14" t="s">
        <v>371</v>
      </c>
      <c r="J188" s="21" t="s">
        <v>176</v>
      </c>
      <c r="K188" s="12" t="s">
        <v>14</v>
      </c>
      <c r="L188" s="319">
        <f t="shared" si="24"/>
        <v>16</v>
      </c>
      <c r="M188" s="22">
        <v>1</v>
      </c>
      <c r="N188" s="78">
        <f>IF(K188="NV","",IF(VLOOKUP(M188,'R_Häufigkeit_Faktoren UHR'!$B$4:$I$24,7,FALSE)=0,"",VLOOKUP(M188,'R_Häufigkeit_Faktoren UHR'!$B$4:$I$24,7,FALSE)))</f>
        <v>4.3452380952380958</v>
      </c>
      <c r="O188" s="3">
        <f t="shared" si="25"/>
        <v>69.523809523809533</v>
      </c>
      <c r="P188" s="325"/>
      <c r="Q188" s="156">
        <f>IF(N188="","",VLOOKUP(J188,Raumgruppen_Leistungswerte!$B$5:$F$35,5,FALSE))</f>
        <v>0</v>
      </c>
      <c r="R188" s="157" t="e">
        <f t="shared" si="26"/>
        <v>#DIV/0!</v>
      </c>
      <c r="S188" s="445" t="e">
        <f t="shared" si="27"/>
        <v>#DIV/0!</v>
      </c>
      <c r="T188" s="78" t="str">
        <f>IF(K188="NV","",IF(VLOOKUP(M188,'R_Häufigkeit_Faktoren UHR'!$B$4:$I$24,8,FALSE)=0,"",VLOOKUP(M188,'R_Häufigkeit_Faktoren UHR'!$B$4:$I$24,8,FALSE)))</f>
        <v/>
      </c>
      <c r="U188" s="156" t="str">
        <f t="shared" si="28"/>
        <v/>
      </c>
      <c r="V188" s="427"/>
      <c r="W188" s="12" t="str">
        <f>IF(T188="","",VLOOKUP(J188,Raumgruppen_Leistungswerte!$B$5:$F$35,5,FALSE))</f>
        <v/>
      </c>
      <c r="X188" s="156" t="str">
        <f t="shared" si="29"/>
        <v/>
      </c>
      <c r="Y188" s="446" t="str">
        <f t="shared" si="30"/>
        <v/>
      </c>
      <c r="Z188" s="158">
        <f t="shared" si="31"/>
        <v>69.523809523809533</v>
      </c>
      <c r="AA188" s="23" t="e">
        <f t="shared" si="32"/>
        <v>#DIV/0!</v>
      </c>
      <c r="AB188" s="445" t="e">
        <f t="shared" si="33"/>
        <v>#DIV/0!</v>
      </c>
      <c r="AC188" s="123"/>
    </row>
    <row r="189" spans="1:29" ht="12" customHeight="1">
      <c r="A189" s="11">
        <v>185</v>
      </c>
      <c r="B189" s="12" t="s">
        <v>367</v>
      </c>
      <c r="C189" s="17">
        <v>5</v>
      </c>
      <c r="D189" s="19" t="s">
        <v>471</v>
      </c>
      <c r="E189" s="17">
        <v>1</v>
      </c>
      <c r="F189" s="18" t="s">
        <v>473</v>
      </c>
      <c r="G189" s="319">
        <v>19.3</v>
      </c>
      <c r="H189" s="19" t="s">
        <v>410</v>
      </c>
      <c r="I189" s="20" t="s">
        <v>371</v>
      </c>
      <c r="J189" s="21" t="s">
        <v>176</v>
      </c>
      <c r="K189" s="12" t="s">
        <v>14</v>
      </c>
      <c r="L189" s="319">
        <f t="shared" si="24"/>
        <v>19.3</v>
      </c>
      <c r="M189" s="22">
        <v>1</v>
      </c>
      <c r="N189" s="78">
        <f>IF(K189="NV","",IF(VLOOKUP(M189,'R_Häufigkeit_Faktoren UHR'!$B$4:$I$24,7,FALSE)=0,"",VLOOKUP(M189,'R_Häufigkeit_Faktoren UHR'!$B$4:$I$24,7,FALSE)))</f>
        <v>4.3452380952380958</v>
      </c>
      <c r="O189" s="3">
        <f t="shared" si="25"/>
        <v>83.863095238095255</v>
      </c>
      <c r="P189" s="325"/>
      <c r="Q189" s="156">
        <f>IF(N189="","",VLOOKUP(J189,Raumgruppen_Leistungswerte!$B$5:$F$35,5,FALSE))</f>
        <v>0</v>
      </c>
      <c r="R189" s="157" t="e">
        <f t="shared" si="26"/>
        <v>#DIV/0!</v>
      </c>
      <c r="S189" s="445" t="e">
        <f t="shared" si="27"/>
        <v>#DIV/0!</v>
      </c>
      <c r="T189" s="78" t="str">
        <f>IF(K189="NV","",IF(VLOOKUP(M189,'R_Häufigkeit_Faktoren UHR'!$B$4:$I$24,8,FALSE)=0,"",VLOOKUP(M189,'R_Häufigkeit_Faktoren UHR'!$B$4:$I$24,8,FALSE)))</f>
        <v/>
      </c>
      <c r="U189" s="156" t="str">
        <f t="shared" si="28"/>
        <v/>
      </c>
      <c r="V189" s="427"/>
      <c r="W189" s="12" t="str">
        <f>IF(T189="","",VLOOKUP(J189,Raumgruppen_Leistungswerte!$B$5:$F$35,5,FALSE))</f>
        <v/>
      </c>
      <c r="X189" s="156" t="str">
        <f t="shared" si="29"/>
        <v/>
      </c>
      <c r="Y189" s="446" t="str">
        <f t="shared" si="30"/>
        <v/>
      </c>
      <c r="Z189" s="158">
        <f t="shared" si="31"/>
        <v>83.863095238095255</v>
      </c>
      <c r="AA189" s="23" t="e">
        <f t="shared" si="32"/>
        <v>#DIV/0!</v>
      </c>
      <c r="AB189" s="445" t="e">
        <f t="shared" si="33"/>
        <v>#DIV/0!</v>
      </c>
      <c r="AC189" s="123"/>
    </row>
    <row r="190" spans="1:29" ht="12" customHeight="1">
      <c r="A190" s="11">
        <v>186</v>
      </c>
      <c r="B190" s="12" t="s">
        <v>367</v>
      </c>
      <c r="C190" s="17">
        <v>5</v>
      </c>
      <c r="D190" s="19" t="s">
        <v>471</v>
      </c>
      <c r="E190" s="17">
        <v>1</v>
      </c>
      <c r="F190" s="18" t="s">
        <v>474</v>
      </c>
      <c r="G190" s="319">
        <v>55.8</v>
      </c>
      <c r="H190" s="19" t="s">
        <v>410</v>
      </c>
      <c r="I190" s="14" t="s">
        <v>371</v>
      </c>
      <c r="J190" s="21" t="s">
        <v>176</v>
      </c>
      <c r="K190" s="12" t="s">
        <v>14</v>
      </c>
      <c r="L190" s="319">
        <f t="shared" si="24"/>
        <v>55.8</v>
      </c>
      <c r="M190" s="22">
        <v>1</v>
      </c>
      <c r="N190" s="78">
        <f>IF(K190="NV","",IF(VLOOKUP(M190,'R_Häufigkeit_Faktoren UHR'!$B$4:$I$24,7,FALSE)=0,"",VLOOKUP(M190,'R_Häufigkeit_Faktoren UHR'!$B$4:$I$24,7,FALSE)))</f>
        <v>4.3452380952380958</v>
      </c>
      <c r="O190" s="3">
        <f t="shared" si="25"/>
        <v>242.46428571428572</v>
      </c>
      <c r="P190" s="325"/>
      <c r="Q190" s="156">
        <f>IF(N190="","",VLOOKUP(J190,Raumgruppen_Leistungswerte!$B$5:$F$35,5,FALSE))</f>
        <v>0</v>
      </c>
      <c r="R190" s="157" t="e">
        <f t="shared" si="26"/>
        <v>#DIV/0!</v>
      </c>
      <c r="S190" s="445" t="e">
        <f t="shared" si="27"/>
        <v>#DIV/0!</v>
      </c>
      <c r="T190" s="78" t="str">
        <f>IF(K190="NV","",IF(VLOOKUP(M190,'R_Häufigkeit_Faktoren UHR'!$B$4:$I$24,8,FALSE)=0,"",VLOOKUP(M190,'R_Häufigkeit_Faktoren UHR'!$B$4:$I$24,8,FALSE)))</f>
        <v/>
      </c>
      <c r="U190" s="156" t="str">
        <f t="shared" si="28"/>
        <v/>
      </c>
      <c r="V190" s="427"/>
      <c r="W190" s="12" t="str">
        <f>IF(T190="","",VLOOKUP(J190,Raumgruppen_Leistungswerte!$B$5:$F$35,5,FALSE))</f>
        <v/>
      </c>
      <c r="X190" s="156" t="str">
        <f t="shared" si="29"/>
        <v/>
      </c>
      <c r="Y190" s="446" t="str">
        <f t="shared" si="30"/>
        <v/>
      </c>
      <c r="Z190" s="158">
        <f t="shared" si="31"/>
        <v>242.46428571428572</v>
      </c>
      <c r="AA190" s="23" t="e">
        <f t="shared" si="32"/>
        <v>#DIV/0!</v>
      </c>
      <c r="AB190" s="445" t="e">
        <f t="shared" si="33"/>
        <v>#DIV/0!</v>
      </c>
      <c r="AC190" s="123"/>
    </row>
    <row r="191" spans="1:29" ht="12" customHeight="1">
      <c r="A191" s="11">
        <v>187</v>
      </c>
      <c r="B191" s="12" t="s">
        <v>367</v>
      </c>
      <c r="C191" s="17">
        <v>5</v>
      </c>
      <c r="D191" s="19" t="s">
        <v>367</v>
      </c>
      <c r="E191" s="17">
        <v>1</v>
      </c>
      <c r="F191" s="18" t="s">
        <v>475</v>
      </c>
      <c r="G191" s="4">
        <v>21.4</v>
      </c>
      <c r="H191" s="19" t="s">
        <v>410</v>
      </c>
      <c r="I191" s="20" t="s">
        <v>371</v>
      </c>
      <c r="J191" s="21" t="s">
        <v>176</v>
      </c>
      <c r="K191" s="12" t="s">
        <v>14</v>
      </c>
      <c r="L191" s="17">
        <f t="shared" si="24"/>
        <v>21.4</v>
      </c>
      <c r="M191" s="22">
        <v>1</v>
      </c>
      <c r="N191" s="79">
        <f>IF(K191="NV","",IF(VLOOKUP(M191,'R_Häufigkeit_Faktoren UHR'!$B$4:$I$24,7,FALSE)=0,"",VLOOKUP(M191,'R_Häufigkeit_Faktoren UHR'!$B$4:$I$24,7,FALSE)))</f>
        <v>4.3452380952380958</v>
      </c>
      <c r="O191" s="3">
        <f t="shared" si="25"/>
        <v>92.988095238095241</v>
      </c>
      <c r="P191" s="325"/>
      <c r="Q191" s="156">
        <f>IF(N191="","",VLOOKUP(J191,Raumgruppen_Leistungswerte!$B$5:$F$35,5,FALSE))</f>
        <v>0</v>
      </c>
      <c r="R191" s="157" t="e">
        <f t="shared" si="26"/>
        <v>#DIV/0!</v>
      </c>
      <c r="S191" s="445" t="e">
        <f t="shared" si="27"/>
        <v>#DIV/0!</v>
      </c>
      <c r="T191" s="78" t="str">
        <f>IF(K191="NV","",IF(VLOOKUP(M191,'R_Häufigkeit_Faktoren UHR'!$B$4:$I$24,8,FALSE)=0,"",VLOOKUP(M191,'R_Häufigkeit_Faktoren UHR'!$B$4:$I$24,8,FALSE)))</f>
        <v/>
      </c>
      <c r="U191" s="156" t="str">
        <f t="shared" si="28"/>
        <v/>
      </c>
      <c r="V191" s="427"/>
      <c r="W191" s="12" t="str">
        <f>IF(T191="","",VLOOKUP(J191,Raumgruppen_Leistungswerte!$B$5:$F$35,5,FALSE))</f>
        <v/>
      </c>
      <c r="X191" s="156" t="str">
        <f t="shared" si="29"/>
        <v/>
      </c>
      <c r="Y191" s="446" t="str">
        <f t="shared" si="30"/>
        <v/>
      </c>
      <c r="Z191" s="158">
        <f t="shared" si="31"/>
        <v>92.988095238095241</v>
      </c>
      <c r="AA191" s="23" t="e">
        <f t="shared" si="32"/>
        <v>#DIV/0!</v>
      </c>
      <c r="AB191" s="445" t="e">
        <f t="shared" si="33"/>
        <v>#DIV/0!</v>
      </c>
      <c r="AC191" s="123"/>
    </row>
    <row r="192" spans="1:29" ht="12" customHeight="1">
      <c r="A192" s="11">
        <v>188</v>
      </c>
      <c r="B192" s="12" t="s">
        <v>367</v>
      </c>
      <c r="C192" s="17">
        <v>5</v>
      </c>
      <c r="D192" s="19" t="s">
        <v>367</v>
      </c>
      <c r="E192" s="17">
        <v>1</v>
      </c>
      <c r="F192" s="18" t="s">
        <v>469</v>
      </c>
      <c r="G192" s="4">
        <v>19.3</v>
      </c>
      <c r="H192" s="19" t="s">
        <v>410</v>
      </c>
      <c r="I192" s="20" t="s">
        <v>371</v>
      </c>
      <c r="J192" s="21" t="s">
        <v>176</v>
      </c>
      <c r="K192" s="12" t="s">
        <v>14</v>
      </c>
      <c r="L192" s="17">
        <f t="shared" si="24"/>
        <v>19.3</v>
      </c>
      <c r="M192" s="22">
        <v>1</v>
      </c>
      <c r="N192" s="78">
        <f>IF(K192="NV","",IF(VLOOKUP(M192,'R_Häufigkeit_Faktoren UHR'!$B$4:$I$24,7,FALSE)=0,"",VLOOKUP(M192,'R_Häufigkeit_Faktoren UHR'!$B$4:$I$24,7,FALSE)))</f>
        <v>4.3452380952380958</v>
      </c>
      <c r="O192" s="3">
        <f t="shared" si="25"/>
        <v>83.863095238095255</v>
      </c>
      <c r="P192" s="325"/>
      <c r="Q192" s="156">
        <f>IF(N192="","",VLOOKUP(J192,Raumgruppen_Leistungswerte!$B$5:$F$35,5,FALSE))</f>
        <v>0</v>
      </c>
      <c r="R192" s="157" t="e">
        <f t="shared" si="26"/>
        <v>#DIV/0!</v>
      </c>
      <c r="S192" s="445" t="e">
        <f t="shared" si="27"/>
        <v>#DIV/0!</v>
      </c>
      <c r="T192" s="78" t="str">
        <f>IF(K192="NV","",IF(VLOOKUP(M192,'R_Häufigkeit_Faktoren UHR'!$B$4:$I$24,8,FALSE)=0,"",VLOOKUP(M192,'R_Häufigkeit_Faktoren UHR'!$B$4:$I$24,8,FALSE)))</f>
        <v/>
      </c>
      <c r="U192" s="156" t="str">
        <f t="shared" si="28"/>
        <v/>
      </c>
      <c r="V192" s="427"/>
      <c r="W192" s="12" t="str">
        <f>IF(T192="","",VLOOKUP(J192,Raumgruppen_Leistungswerte!$B$5:$F$35,5,FALSE))</f>
        <v/>
      </c>
      <c r="X192" s="156" t="str">
        <f t="shared" si="29"/>
        <v/>
      </c>
      <c r="Y192" s="446" t="str">
        <f t="shared" si="30"/>
        <v/>
      </c>
      <c r="Z192" s="158">
        <f t="shared" si="31"/>
        <v>83.863095238095255</v>
      </c>
      <c r="AA192" s="23" t="e">
        <f t="shared" si="32"/>
        <v>#DIV/0!</v>
      </c>
      <c r="AB192" s="445" t="e">
        <f t="shared" si="33"/>
        <v>#DIV/0!</v>
      </c>
      <c r="AC192" s="123"/>
    </row>
    <row r="193" spans="1:29" ht="12" customHeight="1">
      <c r="A193" s="11">
        <v>189</v>
      </c>
      <c r="B193" s="12" t="s">
        <v>367</v>
      </c>
      <c r="C193" s="17">
        <v>5</v>
      </c>
      <c r="D193" s="19" t="s">
        <v>367</v>
      </c>
      <c r="E193" s="17">
        <v>1</v>
      </c>
      <c r="F193" s="18" t="s">
        <v>476</v>
      </c>
      <c r="G193" s="4">
        <v>10.7</v>
      </c>
      <c r="H193" s="19" t="s">
        <v>410</v>
      </c>
      <c r="I193" s="20" t="s">
        <v>371</v>
      </c>
      <c r="J193" s="21" t="s">
        <v>176</v>
      </c>
      <c r="K193" s="12" t="s">
        <v>14</v>
      </c>
      <c r="L193" s="17">
        <f t="shared" si="24"/>
        <v>10.7</v>
      </c>
      <c r="M193" s="22">
        <v>1</v>
      </c>
      <c r="N193" s="78">
        <f>IF(K193="NV","",IF(VLOOKUP(M193,'R_Häufigkeit_Faktoren UHR'!$B$4:$I$24,7,FALSE)=0,"",VLOOKUP(M193,'R_Häufigkeit_Faktoren UHR'!$B$4:$I$24,7,FALSE)))</f>
        <v>4.3452380952380958</v>
      </c>
      <c r="O193" s="3">
        <f t="shared" si="25"/>
        <v>46.49404761904762</v>
      </c>
      <c r="P193" s="325"/>
      <c r="Q193" s="156">
        <f>IF(N193="","",VLOOKUP(J193,Raumgruppen_Leistungswerte!$B$5:$F$35,5,FALSE))</f>
        <v>0</v>
      </c>
      <c r="R193" s="157" t="e">
        <f t="shared" si="26"/>
        <v>#DIV/0!</v>
      </c>
      <c r="S193" s="445" t="e">
        <f t="shared" si="27"/>
        <v>#DIV/0!</v>
      </c>
      <c r="T193" s="78" t="str">
        <f>IF(K193="NV","",IF(VLOOKUP(M193,'R_Häufigkeit_Faktoren UHR'!$B$4:$I$24,8,FALSE)=0,"",VLOOKUP(M193,'R_Häufigkeit_Faktoren UHR'!$B$4:$I$24,8,FALSE)))</f>
        <v/>
      </c>
      <c r="U193" s="156" t="str">
        <f t="shared" si="28"/>
        <v/>
      </c>
      <c r="V193" s="427"/>
      <c r="W193" s="12" t="str">
        <f>IF(T193="","",VLOOKUP(J193,Raumgruppen_Leistungswerte!$B$5:$F$35,5,FALSE))</f>
        <v/>
      </c>
      <c r="X193" s="156" t="str">
        <f t="shared" si="29"/>
        <v/>
      </c>
      <c r="Y193" s="446" t="str">
        <f t="shared" si="30"/>
        <v/>
      </c>
      <c r="Z193" s="158">
        <f t="shared" si="31"/>
        <v>46.49404761904762</v>
      </c>
      <c r="AA193" s="23" t="e">
        <f t="shared" si="32"/>
        <v>#DIV/0!</v>
      </c>
      <c r="AB193" s="445" t="e">
        <f t="shared" si="33"/>
        <v>#DIV/0!</v>
      </c>
      <c r="AC193" s="123"/>
    </row>
    <row r="194" spans="1:29" ht="12" customHeight="1">
      <c r="A194" s="11">
        <v>190</v>
      </c>
      <c r="B194" s="12" t="s">
        <v>367</v>
      </c>
      <c r="C194" s="17">
        <v>5</v>
      </c>
      <c r="D194" s="19" t="s">
        <v>367</v>
      </c>
      <c r="E194" s="17">
        <v>1</v>
      </c>
      <c r="F194" s="18" t="s">
        <v>477</v>
      </c>
      <c r="G194" s="4">
        <v>16.2</v>
      </c>
      <c r="H194" s="19" t="s">
        <v>410</v>
      </c>
      <c r="I194" s="14" t="s">
        <v>371</v>
      </c>
      <c r="J194" s="21" t="s">
        <v>176</v>
      </c>
      <c r="K194" s="12" t="s">
        <v>14</v>
      </c>
      <c r="L194" s="17">
        <f t="shared" si="24"/>
        <v>16.2</v>
      </c>
      <c r="M194" s="22">
        <v>1</v>
      </c>
      <c r="N194" s="78">
        <f>IF(K194="NV","",IF(VLOOKUP(M194,'R_Häufigkeit_Faktoren UHR'!$B$4:$I$24,7,FALSE)=0,"",VLOOKUP(M194,'R_Häufigkeit_Faktoren UHR'!$B$4:$I$24,7,FALSE)))</f>
        <v>4.3452380952380958</v>
      </c>
      <c r="O194" s="3">
        <f t="shared" si="25"/>
        <v>70.392857142857153</v>
      </c>
      <c r="P194" s="325"/>
      <c r="Q194" s="156">
        <f>IF(N194="","",VLOOKUP(J194,Raumgruppen_Leistungswerte!$B$5:$F$35,5,FALSE))</f>
        <v>0</v>
      </c>
      <c r="R194" s="157" t="e">
        <f t="shared" si="26"/>
        <v>#DIV/0!</v>
      </c>
      <c r="S194" s="445" t="e">
        <f t="shared" si="27"/>
        <v>#DIV/0!</v>
      </c>
      <c r="T194" s="78" t="str">
        <f>IF(K194="NV","",IF(VLOOKUP(M194,'R_Häufigkeit_Faktoren UHR'!$B$4:$I$24,8,FALSE)=0,"",VLOOKUP(M194,'R_Häufigkeit_Faktoren UHR'!$B$4:$I$24,8,FALSE)))</f>
        <v/>
      </c>
      <c r="U194" s="156" t="str">
        <f t="shared" si="28"/>
        <v/>
      </c>
      <c r="V194" s="427"/>
      <c r="W194" s="12" t="str">
        <f>IF(T194="","",VLOOKUP(J194,Raumgruppen_Leistungswerte!$B$5:$F$35,5,FALSE))</f>
        <v/>
      </c>
      <c r="X194" s="156" t="str">
        <f t="shared" si="29"/>
        <v/>
      </c>
      <c r="Y194" s="446" t="str">
        <f t="shared" si="30"/>
        <v/>
      </c>
      <c r="Z194" s="158">
        <f t="shared" si="31"/>
        <v>70.392857142857153</v>
      </c>
      <c r="AA194" s="23" t="e">
        <f t="shared" si="32"/>
        <v>#DIV/0!</v>
      </c>
      <c r="AB194" s="445" t="e">
        <f t="shared" si="33"/>
        <v>#DIV/0!</v>
      </c>
      <c r="AC194" s="123"/>
    </row>
    <row r="195" spans="1:29" ht="12" customHeight="1">
      <c r="A195" s="11">
        <v>191</v>
      </c>
      <c r="B195" s="12" t="s">
        <v>367</v>
      </c>
      <c r="C195" s="17">
        <v>5</v>
      </c>
      <c r="D195" s="19" t="s">
        <v>367</v>
      </c>
      <c r="E195" s="17">
        <v>1</v>
      </c>
      <c r="F195" s="18" t="s">
        <v>478</v>
      </c>
      <c r="G195" s="4">
        <v>16.2</v>
      </c>
      <c r="H195" s="19" t="s">
        <v>436</v>
      </c>
      <c r="I195" s="14" t="s">
        <v>371</v>
      </c>
      <c r="J195" s="21" t="s">
        <v>219</v>
      </c>
      <c r="K195" s="12" t="s">
        <v>14</v>
      </c>
      <c r="L195" s="17">
        <f t="shared" si="24"/>
        <v>16.2</v>
      </c>
      <c r="M195" s="22">
        <v>3</v>
      </c>
      <c r="N195" s="78">
        <f>IF(K195="NV","",IF(VLOOKUP(M195,'R_Häufigkeit_Faktoren UHR'!$B$4:$I$24,7,FALSE)=0,"",VLOOKUP(M195,'R_Häufigkeit_Faktoren UHR'!$B$4:$I$24,7,FALSE)))</f>
        <v>13.035714285714286</v>
      </c>
      <c r="O195" s="3">
        <f t="shared" si="25"/>
        <v>211.17857142857144</v>
      </c>
      <c r="P195" s="325"/>
      <c r="Q195" s="156">
        <f>IF(N195="","",VLOOKUP(J195,Raumgruppen_Leistungswerte!$B$5:$F$35,5,FALSE))</f>
        <v>0</v>
      </c>
      <c r="R195" s="157" t="e">
        <f t="shared" si="26"/>
        <v>#DIV/0!</v>
      </c>
      <c r="S195" s="445" t="e">
        <f t="shared" si="27"/>
        <v>#DIV/0!</v>
      </c>
      <c r="T195" s="78" t="str">
        <f>IF(K195="NV","",IF(VLOOKUP(M195,'R_Häufigkeit_Faktoren UHR'!$B$4:$I$24,8,FALSE)=0,"",VLOOKUP(M195,'R_Häufigkeit_Faktoren UHR'!$B$4:$I$24,8,FALSE)))</f>
        <v/>
      </c>
      <c r="U195" s="156" t="str">
        <f t="shared" si="28"/>
        <v/>
      </c>
      <c r="V195" s="427"/>
      <c r="W195" s="12" t="str">
        <f>IF(T195="","",VLOOKUP(J195,Raumgruppen_Leistungswerte!$B$5:$F$35,5,FALSE))</f>
        <v/>
      </c>
      <c r="X195" s="156" t="str">
        <f t="shared" si="29"/>
        <v/>
      </c>
      <c r="Y195" s="446" t="str">
        <f t="shared" si="30"/>
        <v/>
      </c>
      <c r="Z195" s="158">
        <f t="shared" si="31"/>
        <v>211.17857142857144</v>
      </c>
      <c r="AA195" s="23" t="e">
        <f t="shared" si="32"/>
        <v>#DIV/0!</v>
      </c>
      <c r="AB195" s="445" t="e">
        <f t="shared" si="33"/>
        <v>#DIV/0!</v>
      </c>
      <c r="AC195" s="123"/>
    </row>
    <row r="196" spans="1:29" ht="12" customHeight="1">
      <c r="A196" s="11">
        <v>192</v>
      </c>
      <c r="B196" s="12" t="s">
        <v>367</v>
      </c>
      <c r="C196" s="17">
        <v>5</v>
      </c>
      <c r="D196" s="19" t="s">
        <v>367</v>
      </c>
      <c r="E196" s="17">
        <v>1</v>
      </c>
      <c r="F196" s="18" t="s">
        <v>478</v>
      </c>
      <c r="G196" s="4">
        <v>6</v>
      </c>
      <c r="H196" s="19" t="s">
        <v>381</v>
      </c>
      <c r="I196" s="14" t="s">
        <v>383</v>
      </c>
      <c r="J196" s="21" t="s">
        <v>245</v>
      </c>
      <c r="K196" s="12" t="s">
        <v>14</v>
      </c>
      <c r="L196" s="4">
        <f t="shared" si="24"/>
        <v>6</v>
      </c>
      <c r="M196" s="22">
        <v>5</v>
      </c>
      <c r="N196" s="79">
        <f>IF(K196="NV","",IF(VLOOKUP(M196,'R_Häufigkeit_Faktoren UHR'!$B$4:$I$24,7,FALSE)=0,"",VLOOKUP(M196,'R_Häufigkeit_Faktoren UHR'!$B$4:$I$24,7,FALSE)))</f>
        <v>20.917857142857144</v>
      </c>
      <c r="O196" s="3">
        <f t="shared" si="25"/>
        <v>125.50714285714287</v>
      </c>
      <c r="P196" s="325"/>
      <c r="Q196" s="156">
        <f>IF(N196="","",VLOOKUP(J196,Raumgruppen_Leistungswerte!$B$5:$F$35,5,FALSE))</f>
        <v>0</v>
      </c>
      <c r="R196" s="157" t="e">
        <f t="shared" si="26"/>
        <v>#DIV/0!</v>
      </c>
      <c r="S196" s="445" t="e">
        <f t="shared" si="27"/>
        <v>#DIV/0!</v>
      </c>
      <c r="T196" s="78" t="str">
        <f>IF(K196="NV","",IF(VLOOKUP(M196,'R_Häufigkeit_Faktoren UHR'!$B$4:$I$24,8,FALSE)=0,"",VLOOKUP(M196,'R_Häufigkeit_Faktoren UHR'!$B$4:$I$24,8,FALSE)))</f>
        <v/>
      </c>
      <c r="U196" s="156" t="str">
        <f t="shared" si="28"/>
        <v/>
      </c>
      <c r="V196" s="427"/>
      <c r="W196" s="12" t="str">
        <f>IF(T196="","",VLOOKUP(J196,Raumgruppen_Leistungswerte!$B$5:$F$35,5,FALSE))</f>
        <v/>
      </c>
      <c r="X196" s="156" t="str">
        <f t="shared" si="29"/>
        <v/>
      </c>
      <c r="Y196" s="446" t="str">
        <f t="shared" si="30"/>
        <v/>
      </c>
      <c r="Z196" s="158">
        <f t="shared" si="31"/>
        <v>125.50714285714287</v>
      </c>
      <c r="AA196" s="23" t="e">
        <f t="shared" si="32"/>
        <v>#DIV/0!</v>
      </c>
      <c r="AB196" s="445" t="e">
        <f t="shared" si="33"/>
        <v>#DIV/0!</v>
      </c>
      <c r="AC196" s="123"/>
    </row>
    <row r="197" spans="1:29" ht="12" customHeight="1">
      <c r="A197" s="11">
        <v>193</v>
      </c>
      <c r="B197" s="12" t="s">
        <v>367</v>
      </c>
      <c r="C197" s="17">
        <v>5</v>
      </c>
      <c r="D197" s="19" t="s">
        <v>471</v>
      </c>
      <c r="E197" s="17">
        <v>1</v>
      </c>
      <c r="F197" s="18" t="s">
        <v>479</v>
      </c>
      <c r="G197" s="4">
        <v>20</v>
      </c>
      <c r="H197" s="19" t="s">
        <v>410</v>
      </c>
      <c r="I197" s="14" t="s">
        <v>371</v>
      </c>
      <c r="J197" s="15" t="s">
        <v>219</v>
      </c>
      <c r="K197" s="12" t="s">
        <v>14</v>
      </c>
      <c r="L197" s="17">
        <f t="shared" si="24"/>
        <v>20</v>
      </c>
      <c r="M197" s="22">
        <v>1</v>
      </c>
      <c r="N197" s="79">
        <f>IF(K197="NV","",IF(VLOOKUP(M197,'R_Häufigkeit_Faktoren UHR'!$B$4:$I$24,7,FALSE)=0,"",VLOOKUP(M197,'R_Häufigkeit_Faktoren UHR'!$B$4:$I$24,7,FALSE)))</f>
        <v>4.3452380952380958</v>
      </c>
      <c r="O197" s="3">
        <f t="shared" si="25"/>
        <v>86.904761904761912</v>
      </c>
      <c r="P197" s="325"/>
      <c r="Q197" s="156">
        <f>IF(N197="","",VLOOKUP(J197,Raumgruppen_Leistungswerte!$B$5:$F$35,5,FALSE))</f>
        <v>0</v>
      </c>
      <c r="R197" s="157" t="e">
        <f t="shared" si="26"/>
        <v>#DIV/0!</v>
      </c>
      <c r="S197" s="445" t="e">
        <f t="shared" si="27"/>
        <v>#DIV/0!</v>
      </c>
      <c r="T197" s="78" t="str">
        <f>IF(K197="NV","",IF(VLOOKUP(M197,'R_Häufigkeit_Faktoren UHR'!$B$4:$I$24,8,FALSE)=0,"",VLOOKUP(M197,'R_Häufigkeit_Faktoren UHR'!$B$4:$I$24,8,FALSE)))</f>
        <v/>
      </c>
      <c r="U197" s="156" t="str">
        <f t="shared" si="28"/>
        <v/>
      </c>
      <c r="V197" s="427"/>
      <c r="W197" s="12" t="str">
        <f>IF(T197="","",VLOOKUP(J197,Raumgruppen_Leistungswerte!$B$5:$F$35,5,FALSE))</f>
        <v/>
      </c>
      <c r="X197" s="156" t="str">
        <f t="shared" si="29"/>
        <v/>
      </c>
      <c r="Y197" s="446" t="str">
        <f t="shared" si="30"/>
        <v/>
      </c>
      <c r="Z197" s="158">
        <f t="shared" si="31"/>
        <v>86.904761904761912</v>
      </c>
      <c r="AA197" s="23" t="e">
        <f t="shared" si="32"/>
        <v>#DIV/0!</v>
      </c>
      <c r="AB197" s="445" t="e">
        <f t="shared" si="33"/>
        <v>#DIV/0!</v>
      </c>
      <c r="AC197" s="123"/>
    </row>
    <row r="198" spans="1:29" ht="12" customHeight="1">
      <c r="A198" s="11">
        <v>194</v>
      </c>
      <c r="B198" s="12" t="s">
        <v>367</v>
      </c>
      <c r="C198" s="17">
        <v>5</v>
      </c>
      <c r="D198" s="19" t="s">
        <v>367</v>
      </c>
      <c r="E198" s="17">
        <v>1</v>
      </c>
      <c r="F198" s="18" t="s">
        <v>470</v>
      </c>
      <c r="G198" s="4">
        <v>43.3</v>
      </c>
      <c r="H198" s="19" t="s">
        <v>480</v>
      </c>
      <c r="I198" s="20" t="s">
        <v>371</v>
      </c>
      <c r="J198" s="21" t="s">
        <v>219</v>
      </c>
      <c r="K198" s="12" t="s">
        <v>14</v>
      </c>
      <c r="L198" s="18">
        <f t="shared" si="24"/>
        <v>43.3</v>
      </c>
      <c r="M198" s="22">
        <v>3</v>
      </c>
      <c r="N198" s="79">
        <f>IF(K198="NV","",IF(VLOOKUP(M198,'R_Häufigkeit_Faktoren UHR'!$B$4:$I$24,7,FALSE)=0,"",VLOOKUP(M198,'R_Häufigkeit_Faktoren UHR'!$B$4:$I$24,7,FALSE)))</f>
        <v>13.035714285714286</v>
      </c>
      <c r="O198" s="3">
        <f t="shared" si="25"/>
        <v>564.44642857142856</v>
      </c>
      <c r="P198" s="325"/>
      <c r="Q198" s="156">
        <f>IF(N198="","",VLOOKUP(J198,Raumgruppen_Leistungswerte!$B$5:$F$35,5,FALSE))</f>
        <v>0</v>
      </c>
      <c r="R198" s="157" t="e">
        <f t="shared" si="26"/>
        <v>#DIV/0!</v>
      </c>
      <c r="S198" s="445" t="e">
        <f t="shared" si="27"/>
        <v>#DIV/0!</v>
      </c>
      <c r="T198" s="78" t="str">
        <f>IF(K198="NV","",IF(VLOOKUP(M198,'R_Häufigkeit_Faktoren UHR'!$B$4:$I$24,8,FALSE)=0,"",VLOOKUP(M198,'R_Häufigkeit_Faktoren UHR'!$B$4:$I$24,8,FALSE)))</f>
        <v/>
      </c>
      <c r="U198" s="156" t="str">
        <f t="shared" si="28"/>
        <v/>
      </c>
      <c r="V198" s="427"/>
      <c r="W198" s="12" t="str">
        <f>IF(T198="","",VLOOKUP(J198,Raumgruppen_Leistungswerte!$B$5:$F$35,5,FALSE))</f>
        <v/>
      </c>
      <c r="X198" s="156" t="str">
        <f t="shared" si="29"/>
        <v/>
      </c>
      <c r="Y198" s="446" t="str">
        <f t="shared" si="30"/>
        <v/>
      </c>
      <c r="Z198" s="158">
        <f t="shared" si="31"/>
        <v>564.44642857142856</v>
      </c>
      <c r="AA198" s="23" t="e">
        <f t="shared" si="32"/>
        <v>#DIV/0!</v>
      </c>
      <c r="AB198" s="445" t="e">
        <f t="shared" si="33"/>
        <v>#DIV/0!</v>
      </c>
      <c r="AC198" s="123"/>
    </row>
    <row r="199" spans="1:29" ht="12" customHeight="1">
      <c r="A199" s="11">
        <v>195</v>
      </c>
      <c r="B199" s="12" t="s">
        <v>367</v>
      </c>
      <c r="C199" s="17">
        <v>5</v>
      </c>
      <c r="D199" s="19" t="s">
        <v>367</v>
      </c>
      <c r="E199" s="17">
        <v>1</v>
      </c>
      <c r="F199" s="18" t="s">
        <v>384</v>
      </c>
      <c r="G199" s="4">
        <v>10.3</v>
      </c>
      <c r="H199" s="19" t="s">
        <v>385</v>
      </c>
      <c r="I199" s="20" t="s">
        <v>282</v>
      </c>
      <c r="J199" s="21" t="s">
        <v>1</v>
      </c>
      <c r="K199" s="12" t="s">
        <v>14</v>
      </c>
      <c r="L199" s="17">
        <f t="shared" si="24"/>
        <v>10.3</v>
      </c>
      <c r="M199" s="22">
        <v>5</v>
      </c>
      <c r="N199" s="79">
        <f>IF(K199="NV","",IF(VLOOKUP(M199,'R_Häufigkeit_Faktoren UHR'!$B$4:$I$24,7,FALSE)=0,"",VLOOKUP(M199,'R_Häufigkeit_Faktoren UHR'!$B$4:$I$24,7,FALSE)))</f>
        <v>20.917857142857144</v>
      </c>
      <c r="O199" s="3">
        <f t="shared" si="25"/>
        <v>215.45392857142861</v>
      </c>
      <c r="P199" s="325"/>
      <c r="Q199" s="156">
        <f>IF(N199="","",VLOOKUP(J199,Raumgruppen_Leistungswerte!$B$5:$F$35,5,FALSE))</f>
        <v>0</v>
      </c>
      <c r="R199" s="157" t="e">
        <f t="shared" si="26"/>
        <v>#DIV/0!</v>
      </c>
      <c r="S199" s="445" t="e">
        <f t="shared" si="27"/>
        <v>#DIV/0!</v>
      </c>
      <c r="T199" s="78" t="str">
        <f>IF(K199="NV","",IF(VLOOKUP(M199,'R_Häufigkeit_Faktoren UHR'!$B$4:$I$24,8,FALSE)=0,"",VLOOKUP(M199,'R_Häufigkeit_Faktoren UHR'!$B$4:$I$24,8,FALSE)))</f>
        <v/>
      </c>
      <c r="U199" s="156" t="str">
        <f t="shared" si="28"/>
        <v/>
      </c>
      <c r="V199" s="427"/>
      <c r="W199" s="12" t="str">
        <f>IF(T199="","",VLOOKUP(J199,Raumgruppen_Leistungswerte!$B$5:$F$35,5,FALSE))</f>
        <v/>
      </c>
      <c r="X199" s="156" t="str">
        <f t="shared" si="29"/>
        <v/>
      </c>
      <c r="Y199" s="446" t="str">
        <f t="shared" si="30"/>
        <v/>
      </c>
      <c r="Z199" s="158">
        <f t="shared" si="31"/>
        <v>215.45392857142861</v>
      </c>
      <c r="AA199" s="23" t="e">
        <f t="shared" si="32"/>
        <v>#DIV/0!</v>
      </c>
      <c r="AB199" s="445" t="e">
        <f t="shared" si="33"/>
        <v>#DIV/0!</v>
      </c>
      <c r="AC199" s="123"/>
    </row>
    <row r="200" spans="1:29" ht="12" customHeight="1">
      <c r="A200" s="11">
        <v>196</v>
      </c>
      <c r="B200" s="12" t="s">
        <v>367</v>
      </c>
      <c r="C200" s="17">
        <v>5</v>
      </c>
      <c r="D200" s="19" t="s">
        <v>367</v>
      </c>
      <c r="E200" s="17">
        <v>1</v>
      </c>
      <c r="F200" s="18" t="s">
        <v>386</v>
      </c>
      <c r="G200" s="4">
        <v>10.1</v>
      </c>
      <c r="H200" s="19" t="s">
        <v>387</v>
      </c>
      <c r="I200" s="20" t="s">
        <v>282</v>
      </c>
      <c r="J200" s="21" t="s">
        <v>1</v>
      </c>
      <c r="K200" s="12" t="s">
        <v>14</v>
      </c>
      <c r="L200" s="17">
        <f t="shared" si="24"/>
        <v>10.1</v>
      </c>
      <c r="M200" s="22">
        <v>5</v>
      </c>
      <c r="N200" s="79">
        <f>IF(K200="NV","",IF(VLOOKUP(M200,'R_Häufigkeit_Faktoren UHR'!$B$4:$I$24,7,FALSE)=0,"",VLOOKUP(M200,'R_Häufigkeit_Faktoren UHR'!$B$4:$I$24,7,FALSE)))</f>
        <v>20.917857142857144</v>
      </c>
      <c r="O200" s="3">
        <f t="shared" si="25"/>
        <v>211.27035714285716</v>
      </c>
      <c r="P200" s="325"/>
      <c r="Q200" s="156">
        <f>IF(N200="","",VLOOKUP(J200,Raumgruppen_Leistungswerte!$B$5:$F$35,5,FALSE))</f>
        <v>0</v>
      </c>
      <c r="R200" s="157" t="e">
        <f t="shared" si="26"/>
        <v>#DIV/0!</v>
      </c>
      <c r="S200" s="445" t="e">
        <f t="shared" si="27"/>
        <v>#DIV/0!</v>
      </c>
      <c r="T200" s="78" t="str">
        <f>IF(K200="NV","",IF(VLOOKUP(M200,'R_Häufigkeit_Faktoren UHR'!$B$4:$I$24,8,FALSE)=0,"",VLOOKUP(M200,'R_Häufigkeit_Faktoren UHR'!$B$4:$I$24,8,FALSE)))</f>
        <v/>
      </c>
      <c r="U200" s="156" t="str">
        <f t="shared" si="28"/>
        <v/>
      </c>
      <c r="V200" s="427"/>
      <c r="W200" s="12" t="str">
        <f>IF(T200="","",VLOOKUP(J200,Raumgruppen_Leistungswerte!$B$5:$F$35,5,FALSE))</f>
        <v/>
      </c>
      <c r="X200" s="156" t="str">
        <f t="shared" si="29"/>
        <v/>
      </c>
      <c r="Y200" s="446" t="str">
        <f t="shared" si="30"/>
        <v/>
      </c>
      <c r="Z200" s="158">
        <f t="shared" si="31"/>
        <v>211.27035714285716</v>
      </c>
      <c r="AA200" s="23" t="e">
        <f t="shared" si="32"/>
        <v>#DIV/0!</v>
      </c>
      <c r="AB200" s="445" t="e">
        <f t="shared" si="33"/>
        <v>#DIV/0!</v>
      </c>
      <c r="AC200" s="123"/>
    </row>
    <row r="201" spans="1:29" ht="12" customHeight="1">
      <c r="A201" s="11">
        <v>197</v>
      </c>
      <c r="B201" s="12" t="s">
        <v>367</v>
      </c>
      <c r="C201" s="17">
        <v>5</v>
      </c>
      <c r="D201" s="19" t="s">
        <v>367</v>
      </c>
      <c r="E201" s="17">
        <v>1</v>
      </c>
      <c r="F201" s="18" t="s">
        <v>424</v>
      </c>
      <c r="G201" s="4">
        <v>5.8</v>
      </c>
      <c r="H201" s="19" t="s">
        <v>425</v>
      </c>
      <c r="I201" s="20" t="s">
        <v>282</v>
      </c>
      <c r="J201" s="21" t="s">
        <v>1</v>
      </c>
      <c r="K201" s="12" t="s">
        <v>14</v>
      </c>
      <c r="L201" s="17">
        <f t="shared" si="24"/>
        <v>5.8</v>
      </c>
      <c r="M201" s="22">
        <v>5</v>
      </c>
      <c r="N201" s="79">
        <f>IF(K201="NV","",IF(VLOOKUP(M201,'R_Häufigkeit_Faktoren UHR'!$B$4:$I$24,7,FALSE)=0,"",VLOOKUP(M201,'R_Häufigkeit_Faktoren UHR'!$B$4:$I$24,7,FALSE)))</f>
        <v>20.917857142857144</v>
      </c>
      <c r="O201" s="3">
        <f t="shared" si="25"/>
        <v>121.32357142857144</v>
      </c>
      <c r="P201" s="325"/>
      <c r="Q201" s="156">
        <f>IF(N201="","",VLOOKUP(J201,Raumgruppen_Leistungswerte!$B$5:$F$35,5,FALSE))</f>
        <v>0</v>
      </c>
      <c r="R201" s="157" t="e">
        <f t="shared" si="26"/>
        <v>#DIV/0!</v>
      </c>
      <c r="S201" s="445" t="e">
        <f t="shared" si="27"/>
        <v>#DIV/0!</v>
      </c>
      <c r="T201" s="78" t="str">
        <f>IF(K201="NV","",IF(VLOOKUP(M201,'R_Häufigkeit_Faktoren UHR'!$B$4:$I$24,8,FALSE)=0,"",VLOOKUP(M201,'R_Häufigkeit_Faktoren UHR'!$B$4:$I$24,8,FALSE)))</f>
        <v/>
      </c>
      <c r="U201" s="156" t="str">
        <f t="shared" si="28"/>
        <v/>
      </c>
      <c r="V201" s="427"/>
      <c r="W201" s="12" t="str">
        <f>IF(T201="","",VLOOKUP(J201,Raumgruppen_Leistungswerte!$B$5:$F$35,5,FALSE))</f>
        <v/>
      </c>
      <c r="X201" s="156" t="str">
        <f t="shared" si="29"/>
        <v/>
      </c>
      <c r="Y201" s="446" t="str">
        <f t="shared" si="30"/>
        <v/>
      </c>
      <c r="Z201" s="158">
        <f t="shared" si="31"/>
        <v>121.32357142857144</v>
      </c>
      <c r="AA201" s="23" t="e">
        <f t="shared" si="32"/>
        <v>#DIV/0!</v>
      </c>
      <c r="AB201" s="445" t="e">
        <f t="shared" si="33"/>
        <v>#DIV/0!</v>
      </c>
      <c r="AC201" s="123"/>
    </row>
    <row r="202" spans="1:29" ht="12" customHeight="1">
      <c r="A202" s="11">
        <v>198</v>
      </c>
      <c r="B202" s="12" t="s">
        <v>367</v>
      </c>
      <c r="C202" s="17">
        <v>5</v>
      </c>
      <c r="D202" s="19" t="s">
        <v>367</v>
      </c>
      <c r="E202" s="17">
        <v>1</v>
      </c>
      <c r="F202" s="18" t="s">
        <v>404</v>
      </c>
      <c r="G202" s="4">
        <v>3.6</v>
      </c>
      <c r="H202" s="19" t="s">
        <v>405</v>
      </c>
      <c r="I202" s="14" t="s">
        <v>282</v>
      </c>
      <c r="J202" s="21" t="s">
        <v>1</v>
      </c>
      <c r="K202" s="12" t="s">
        <v>14</v>
      </c>
      <c r="L202" s="17">
        <f t="shared" si="24"/>
        <v>3.6</v>
      </c>
      <c r="M202" s="22">
        <v>5</v>
      </c>
      <c r="N202" s="79">
        <f>IF(K202="NV","",IF(VLOOKUP(M202,'R_Häufigkeit_Faktoren UHR'!$B$4:$I$24,7,FALSE)=0,"",VLOOKUP(M202,'R_Häufigkeit_Faktoren UHR'!$B$4:$I$24,7,FALSE)))</f>
        <v>20.917857142857144</v>
      </c>
      <c r="O202" s="3">
        <f t="shared" si="25"/>
        <v>75.304285714285726</v>
      </c>
      <c r="P202" s="325"/>
      <c r="Q202" s="156">
        <f>IF(N202="","",VLOOKUP(J202,Raumgruppen_Leistungswerte!$B$5:$F$35,5,FALSE))</f>
        <v>0</v>
      </c>
      <c r="R202" s="157" t="e">
        <f t="shared" si="26"/>
        <v>#DIV/0!</v>
      </c>
      <c r="S202" s="445" t="e">
        <f t="shared" si="27"/>
        <v>#DIV/0!</v>
      </c>
      <c r="T202" s="78" t="str">
        <f>IF(K202="NV","",IF(VLOOKUP(M202,'R_Häufigkeit_Faktoren UHR'!$B$4:$I$24,8,FALSE)=0,"",VLOOKUP(M202,'R_Häufigkeit_Faktoren UHR'!$B$4:$I$24,8,FALSE)))</f>
        <v/>
      </c>
      <c r="U202" s="156" t="str">
        <f t="shared" si="28"/>
        <v/>
      </c>
      <c r="V202" s="427"/>
      <c r="W202" s="12" t="str">
        <f>IF(T202="","",VLOOKUP(J202,Raumgruppen_Leistungswerte!$B$5:$F$35,5,FALSE))</f>
        <v/>
      </c>
      <c r="X202" s="156" t="str">
        <f t="shared" si="29"/>
        <v/>
      </c>
      <c r="Y202" s="446" t="str">
        <f t="shared" si="30"/>
        <v/>
      </c>
      <c r="Z202" s="158">
        <f t="shared" si="31"/>
        <v>75.304285714285726</v>
      </c>
      <c r="AA202" s="23" t="e">
        <f t="shared" si="32"/>
        <v>#DIV/0!</v>
      </c>
      <c r="AB202" s="445" t="e">
        <f t="shared" si="33"/>
        <v>#DIV/0!</v>
      </c>
      <c r="AC202" s="123"/>
    </row>
    <row r="203" spans="1:29" ht="12" customHeight="1">
      <c r="A203" s="11">
        <v>199</v>
      </c>
      <c r="B203" s="12" t="s">
        <v>367</v>
      </c>
      <c r="C203" s="17">
        <v>5</v>
      </c>
      <c r="D203" s="19" t="s">
        <v>416</v>
      </c>
      <c r="E203" s="17">
        <v>1</v>
      </c>
      <c r="F203" s="18" t="s">
        <v>423</v>
      </c>
      <c r="G203" s="4">
        <v>10.4</v>
      </c>
      <c r="H203" s="19" t="s">
        <v>418</v>
      </c>
      <c r="I203" s="14" t="s">
        <v>383</v>
      </c>
      <c r="J203" s="21" t="s">
        <v>121</v>
      </c>
      <c r="K203" s="12" t="s">
        <v>173</v>
      </c>
      <c r="L203" s="17" t="str">
        <f t="shared" si="24"/>
        <v/>
      </c>
      <c r="M203" s="22"/>
      <c r="N203" s="79" t="str">
        <f>IF(K203="NV","",IF(VLOOKUP(M203,'R_Häufigkeit_Faktoren UHR'!$B$4:$I$24,7,FALSE)=0,"",VLOOKUP(M203,'R_Häufigkeit_Faktoren UHR'!$B$4:$I$24,7,FALSE)))</f>
        <v/>
      </c>
      <c r="O203" s="3" t="str">
        <f t="shared" si="25"/>
        <v/>
      </c>
      <c r="P203" s="325"/>
      <c r="Q203" s="156" t="str">
        <f>IF(N203="","",VLOOKUP(J203,Raumgruppen_Leistungswerte!$B$5:$F$35,5,FALSE))</f>
        <v/>
      </c>
      <c r="R203" s="157" t="str">
        <f t="shared" si="26"/>
        <v/>
      </c>
      <c r="S203" s="445" t="str">
        <f t="shared" si="27"/>
        <v/>
      </c>
      <c r="T203" s="78" t="str">
        <f>IF(K203="NV","",IF(VLOOKUP(M203,'R_Häufigkeit_Faktoren UHR'!$B$4:$I$24,8,FALSE)=0,"",VLOOKUP(M203,'R_Häufigkeit_Faktoren UHR'!$B$4:$I$24,8,FALSE)))</f>
        <v/>
      </c>
      <c r="U203" s="156" t="str">
        <f t="shared" si="28"/>
        <v/>
      </c>
      <c r="V203" s="427"/>
      <c r="W203" s="12" t="str">
        <f>IF(T203="","",VLOOKUP(J203,Raumgruppen_Leistungswerte!$B$5:$F$35,5,FALSE))</f>
        <v/>
      </c>
      <c r="X203" s="156" t="str">
        <f t="shared" si="29"/>
        <v/>
      </c>
      <c r="Y203" s="446" t="str">
        <f t="shared" si="30"/>
        <v/>
      </c>
      <c r="Z203" s="158" t="str">
        <f t="shared" si="31"/>
        <v/>
      </c>
      <c r="AA203" s="23" t="str">
        <f t="shared" si="32"/>
        <v/>
      </c>
      <c r="AB203" s="445" t="str">
        <f t="shared" si="33"/>
        <v/>
      </c>
      <c r="AC203" s="123"/>
    </row>
    <row r="204" spans="1:29" ht="12" customHeight="1">
      <c r="A204" s="11">
        <v>200</v>
      </c>
      <c r="B204" s="12" t="s">
        <v>367</v>
      </c>
      <c r="C204" s="17">
        <v>5</v>
      </c>
      <c r="D204" s="19" t="s">
        <v>287</v>
      </c>
      <c r="E204" s="17">
        <v>1</v>
      </c>
      <c r="F204" s="18" t="s">
        <v>481</v>
      </c>
      <c r="G204" s="4">
        <v>4.7</v>
      </c>
      <c r="H204" s="19" t="s">
        <v>482</v>
      </c>
      <c r="I204" s="14" t="s">
        <v>383</v>
      </c>
      <c r="J204" s="21" t="s">
        <v>286</v>
      </c>
      <c r="K204" s="12" t="s">
        <v>173</v>
      </c>
      <c r="L204" s="17" t="str">
        <f t="shared" si="24"/>
        <v/>
      </c>
      <c r="M204" s="22"/>
      <c r="N204" s="79" t="str">
        <f>IF(K204="NV","",IF(VLOOKUP(M204,'R_Häufigkeit_Faktoren UHR'!$B$4:$I$24,7,FALSE)=0,"",VLOOKUP(M204,'R_Häufigkeit_Faktoren UHR'!$B$4:$I$24,7,FALSE)))</f>
        <v/>
      </c>
      <c r="O204" s="3" t="str">
        <f t="shared" si="25"/>
        <v/>
      </c>
      <c r="P204" s="325"/>
      <c r="Q204" s="156" t="str">
        <f>IF(N204="","",VLOOKUP(J204,Raumgruppen_Leistungswerte!$B$5:$F$35,5,FALSE))</f>
        <v/>
      </c>
      <c r="R204" s="157" t="str">
        <f t="shared" si="26"/>
        <v/>
      </c>
      <c r="S204" s="445" t="str">
        <f t="shared" si="27"/>
        <v/>
      </c>
      <c r="T204" s="78" t="str">
        <f>IF(K204="NV","",IF(VLOOKUP(M204,'R_Häufigkeit_Faktoren UHR'!$B$4:$I$24,8,FALSE)=0,"",VLOOKUP(M204,'R_Häufigkeit_Faktoren UHR'!$B$4:$I$24,8,FALSE)))</f>
        <v/>
      </c>
      <c r="U204" s="156" t="str">
        <f t="shared" si="28"/>
        <v/>
      </c>
      <c r="V204" s="427"/>
      <c r="W204" s="12" t="str">
        <f>IF(T204="","",VLOOKUP(J204,Raumgruppen_Leistungswerte!$B$5:$F$35,5,FALSE))</f>
        <v/>
      </c>
      <c r="X204" s="156" t="str">
        <f t="shared" si="29"/>
        <v/>
      </c>
      <c r="Y204" s="446" t="str">
        <f t="shared" si="30"/>
        <v/>
      </c>
      <c r="Z204" s="158" t="str">
        <f t="shared" si="31"/>
        <v/>
      </c>
      <c r="AA204" s="23" t="str">
        <f t="shared" si="32"/>
        <v/>
      </c>
      <c r="AB204" s="445" t="str">
        <f t="shared" si="33"/>
        <v/>
      </c>
      <c r="AC204" s="123"/>
    </row>
    <row r="205" spans="1:29" ht="12" customHeight="1">
      <c r="A205" s="11">
        <v>201</v>
      </c>
      <c r="B205" s="12" t="s">
        <v>367</v>
      </c>
      <c r="C205" s="17">
        <v>5</v>
      </c>
      <c r="D205" s="19" t="s">
        <v>367</v>
      </c>
      <c r="E205" s="17">
        <v>1</v>
      </c>
      <c r="F205" s="18" t="s">
        <v>407</v>
      </c>
      <c r="G205" s="4">
        <v>1.9</v>
      </c>
      <c r="H205" s="19" t="s">
        <v>428</v>
      </c>
      <c r="I205" s="20" t="s">
        <v>282</v>
      </c>
      <c r="J205" s="21" t="s">
        <v>251</v>
      </c>
      <c r="K205" s="12" t="s">
        <v>14</v>
      </c>
      <c r="L205" s="4">
        <f t="shared" si="24"/>
        <v>1.9</v>
      </c>
      <c r="M205" s="22">
        <v>1</v>
      </c>
      <c r="N205" s="79">
        <f>IF(K205="NV","",IF(VLOOKUP(M205,'R_Häufigkeit_Faktoren UHR'!$B$4:$I$24,7,FALSE)=0,"",VLOOKUP(M205,'R_Häufigkeit_Faktoren UHR'!$B$4:$I$24,7,FALSE)))</f>
        <v>4.3452380952380958</v>
      </c>
      <c r="O205" s="3">
        <f t="shared" si="25"/>
        <v>8.2559523809523814</v>
      </c>
      <c r="P205" s="325"/>
      <c r="Q205" s="156">
        <f>IF(N205="","",VLOOKUP(J205,Raumgruppen_Leistungswerte!$B$5:$F$35,5,FALSE))</f>
        <v>0</v>
      </c>
      <c r="R205" s="157" t="e">
        <f t="shared" si="26"/>
        <v>#DIV/0!</v>
      </c>
      <c r="S205" s="445" t="e">
        <f t="shared" si="27"/>
        <v>#DIV/0!</v>
      </c>
      <c r="T205" s="78" t="str">
        <f>IF(K205="NV","",IF(VLOOKUP(M205,'R_Häufigkeit_Faktoren UHR'!$B$4:$I$24,8,FALSE)=0,"",VLOOKUP(M205,'R_Häufigkeit_Faktoren UHR'!$B$4:$I$24,8,FALSE)))</f>
        <v/>
      </c>
      <c r="U205" s="156" t="str">
        <f t="shared" si="28"/>
        <v/>
      </c>
      <c r="V205" s="427"/>
      <c r="W205" s="12" t="str">
        <f>IF(T205="","",VLOOKUP(J205,Raumgruppen_Leistungswerte!$B$5:$F$35,5,FALSE))</f>
        <v/>
      </c>
      <c r="X205" s="156" t="str">
        <f t="shared" si="29"/>
        <v/>
      </c>
      <c r="Y205" s="446" t="str">
        <f t="shared" si="30"/>
        <v/>
      </c>
      <c r="Z205" s="158">
        <f t="shared" si="31"/>
        <v>8.2559523809523814</v>
      </c>
      <c r="AA205" s="23" t="e">
        <f t="shared" si="32"/>
        <v>#DIV/0!</v>
      </c>
      <c r="AB205" s="445" t="e">
        <f t="shared" si="33"/>
        <v>#DIV/0!</v>
      </c>
      <c r="AC205" s="123"/>
    </row>
    <row r="206" spans="1:29" ht="12" customHeight="1">
      <c r="A206" s="11">
        <v>202</v>
      </c>
      <c r="B206" s="12" t="s">
        <v>367</v>
      </c>
      <c r="C206" s="17">
        <v>5</v>
      </c>
      <c r="D206" s="19" t="s">
        <v>272</v>
      </c>
      <c r="E206" s="17">
        <v>1</v>
      </c>
      <c r="F206" s="18" t="s">
        <v>333</v>
      </c>
      <c r="G206" s="4">
        <v>21.5</v>
      </c>
      <c r="H206" s="19" t="s">
        <v>365</v>
      </c>
      <c r="I206" s="20" t="s">
        <v>335</v>
      </c>
      <c r="J206" s="21" t="s">
        <v>240</v>
      </c>
      <c r="K206" s="12" t="s">
        <v>14</v>
      </c>
      <c r="L206" s="17">
        <f t="shared" si="24"/>
        <v>21.5</v>
      </c>
      <c r="M206" s="22">
        <v>3</v>
      </c>
      <c r="N206" s="79">
        <f>IF(K206="NV","",IF(VLOOKUP(M206,'R_Häufigkeit_Faktoren UHR'!$B$4:$I$24,7,FALSE)=0,"",VLOOKUP(M206,'R_Häufigkeit_Faktoren UHR'!$B$4:$I$24,7,FALSE)))</f>
        <v>13.035714285714286</v>
      </c>
      <c r="O206" s="3">
        <f t="shared" si="25"/>
        <v>280.26785714285717</v>
      </c>
      <c r="P206" s="325"/>
      <c r="Q206" s="156">
        <f>IF(N206="","",VLOOKUP(J206,Raumgruppen_Leistungswerte!$B$5:$F$35,5,FALSE))</f>
        <v>0</v>
      </c>
      <c r="R206" s="157" t="e">
        <f t="shared" si="26"/>
        <v>#DIV/0!</v>
      </c>
      <c r="S206" s="445" t="e">
        <f t="shared" si="27"/>
        <v>#DIV/0!</v>
      </c>
      <c r="T206" s="78" t="str">
        <f>IF(K206="NV","",IF(VLOOKUP(M206,'R_Häufigkeit_Faktoren UHR'!$B$4:$I$24,8,FALSE)=0,"",VLOOKUP(M206,'R_Häufigkeit_Faktoren UHR'!$B$4:$I$24,8,FALSE)))</f>
        <v/>
      </c>
      <c r="U206" s="156" t="str">
        <f t="shared" si="28"/>
        <v/>
      </c>
      <c r="V206" s="427"/>
      <c r="W206" s="12" t="str">
        <f>IF(T206="","",VLOOKUP(J206,Raumgruppen_Leistungswerte!$B$5:$F$35,5,FALSE))</f>
        <v/>
      </c>
      <c r="X206" s="156" t="str">
        <f t="shared" si="29"/>
        <v/>
      </c>
      <c r="Y206" s="446" t="str">
        <f t="shared" si="30"/>
        <v/>
      </c>
      <c r="Z206" s="158">
        <f t="shared" si="31"/>
        <v>280.26785714285717</v>
      </c>
      <c r="AA206" s="23" t="e">
        <f t="shared" si="32"/>
        <v>#DIV/0!</v>
      </c>
      <c r="AB206" s="445" t="e">
        <f t="shared" si="33"/>
        <v>#DIV/0!</v>
      </c>
      <c r="AC206" s="123"/>
    </row>
    <row r="207" spans="1:29" ht="12" customHeight="1">
      <c r="A207" s="11">
        <v>203</v>
      </c>
      <c r="B207" s="12" t="s">
        <v>367</v>
      </c>
      <c r="C207" s="17">
        <v>5</v>
      </c>
      <c r="D207" s="19" t="s">
        <v>287</v>
      </c>
      <c r="E207" s="17">
        <v>1</v>
      </c>
      <c r="F207" s="18" t="s">
        <v>336</v>
      </c>
      <c r="G207" s="4">
        <v>6</v>
      </c>
      <c r="H207" s="19" t="s">
        <v>337</v>
      </c>
      <c r="I207" s="20" t="s">
        <v>335</v>
      </c>
      <c r="J207" s="21" t="s">
        <v>242</v>
      </c>
      <c r="K207" s="12" t="s">
        <v>14</v>
      </c>
      <c r="L207" s="18">
        <f t="shared" si="24"/>
        <v>6</v>
      </c>
      <c r="M207" s="22">
        <v>3</v>
      </c>
      <c r="N207" s="79">
        <f>IF(K207="NV","",IF(VLOOKUP(M207,'R_Häufigkeit_Faktoren UHR'!$B$4:$I$24,7,FALSE)=0,"",VLOOKUP(M207,'R_Häufigkeit_Faktoren UHR'!$B$4:$I$24,7,FALSE)))</f>
        <v>13.035714285714286</v>
      </c>
      <c r="O207" s="3">
        <f t="shared" si="25"/>
        <v>78.214285714285722</v>
      </c>
      <c r="P207" s="325"/>
      <c r="Q207" s="156">
        <f>IF(N207="","",VLOOKUP(J207,Raumgruppen_Leistungswerte!$B$5:$F$35,5,FALSE))</f>
        <v>0</v>
      </c>
      <c r="R207" s="157" t="e">
        <f t="shared" si="26"/>
        <v>#DIV/0!</v>
      </c>
      <c r="S207" s="445" t="e">
        <f t="shared" si="27"/>
        <v>#DIV/0!</v>
      </c>
      <c r="T207" s="78" t="str">
        <f>IF(K207="NV","",IF(VLOOKUP(M207,'R_Häufigkeit_Faktoren UHR'!$B$4:$I$24,8,FALSE)=0,"",VLOOKUP(M207,'R_Häufigkeit_Faktoren UHR'!$B$4:$I$24,8,FALSE)))</f>
        <v/>
      </c>
      <c r="U207" s="156" t="str">
        <f t="shared" si="28"/>
        <v/>
      </c>
      <c r="V207" s="427"/>
      <c r="W207" s="12" t="str">
        <f>IF(T207="","",VLOOKUP(J207,Raumgruppen_Leistungswerte!$B$5:$F$35,5,FALSE))</f>
        <v/>
      </c>
      <c r="X207" s="156" t="str">
        <f t="shared" si="29"/>
        <v/>
      </c>
      <c r="Y207" s="446" t="str">
        <f t="shared" si="30"/>
        <v/>
      </c>
      <c r="Z207" s="158">
        <f t="shared" si="31"/>
        <v>78.214285714285722</v>
      </c>
      <c r="AA207" s="23" t="e">
        <f t="shared" si="32"/>
        <v>#DIV/0!</v>
      </c>
      <c r="AB207" s="445" t="e">
        <f t="shared" si="33"/>
        <v>#DIV/0!</v>
      </c>
      <c r="AC207" s="123"/>
    </row>
    <row r="208" spans="1:29" ht="12" customHeight="1">
      <c r="A208" s="11">
        <v>204</v>
      </c>
      <c r="B208" s="12" t="s">
        <v>367</v>
      </c>
      <c r="C208" s="17">
        <v>5</v>
      </c>
      <c r="D208" s="19" t="s">
        <v>272</v>
      </c>
      <c r="E208" s="17">
        <v>1</v>
      </c>
      <c r="F208" s="18" t="s">
        <v>338</v>
      </c>
      <c r="G208" s="4">
        <v>14.5</v>
      </c>
      <c r="H208" s="19" t="s">
        <v>389</v>
      </c>
      <c r="I208" s="20" t="s">
        <v>335</v>
      </c>
      <c r="J208" s="21" t="s">
        <v>238</v>
      </c>
      <c r="K208" s="12" t="s">
        <v>14</v>
      </c>
      <c r="L208" s="17">
        <f t="shared" si="24"/>
        <v>14.5</v>
      </c>
      <c r="M208" s="22">
        <v>3</v>
      </c>
      <c r="N208" s="79">
        <f>IF(K208="NV","",IF(VLOOKUP(M208,'R_Häufigkeit_Faktoren UHR'!$B$4:$I$24,7,FALSE)=0,"",VLOOKUP(M208,'R_Häufigkeit_Faktoren UHR'!$B$4:$I$24,7,FALSE)))</f>
        <v>13.035714285714286</v>
      </c>
      <c r="O208" s="3">
        <f t="shared" si="25"/>
        <v>189.01785714285717</v>
      </c>
      <c r="P208" s="325"/>
      <c r="Q208" s="156">
        <f>IF(N208="","",VLOOKUP(J208,Raumgruppen_Leistungswerte!$B$5:$F$35,5,FALSE))</f>
        <v>0</v>
      </c>
      <c r="R208" s="157" t="e">
        <f t="shared" si="26"/>
        <v>#DIV/0!</v>
      </c>
      <c r="S208" s="445" t="e">
        <f t="shared" si="27"/>
        <v>#DIV/0!</v>
      </c>
      <c r="T208" s="78" t="str">
        <f>IF(K208="NV","",IF(VLOOKUP(M208,'R_Häufigkeit_Faktoren UHR'!$B$4:$I$24,8,FALSE)=0,"",VLOOKUP(M208,'R_Häufigkeit_Faktoren UHR'!$B$4:$I$24,8,FALSE)))</f>
        <v/>
      </c>
      <c r="U208" s="156" t="str">
        <f t="shared" si="28"/>
        <v/>
      </c>
      <c r="V208" s="427"/>
      <c r="W208" s="12" t="str">
        <f>IF(T208="","",VLOOKUP(J208,Raumgruppen_Leistungswerte!$B$5:$F$35,5,FALSE))</f>
        <v/>
      </c>
      <c r="X208" s="156" t="str">
        <f t="shared" si="29"/>
        <v/>
      </c>
      <c r="Y208" s="446" t="str">
        <f t="shared" si="30"/>
        <v/>
      </c>
      <c r="Z208" s="158">
        <f t="shared" si="31"/>
        <v>189.01785714285717</v>
      </c>
      <c r="AA208" s="23" t="e">
        <f t="shared" si="32"/>
        <v>#DIV/0!</v>
      </c>
      <c r="AB208" s="445" t="e">
        <f t="shared" si="33"/>
        <v>#DIV/0!</v>
      </c>
      <c r="AC208" s="123"/>
    </row>
    <row r="209" spans="1:29" ht="12" customHeight="1">
      <c r="A209" s="11">
        <v>205</v>
      </c>
      <c r="B209" s="12" t="s">
        <v>367</v>
      </c>
      <c r="C209" s="17">
        <v>6</v>
      </c>
      <c r="D209" s="19" t="s">
        <v>390</v>
      </c>
      <c r="E209" s="17">
        <v>1</v>
      </c>
      <c r="F209" s="18" t="s">
        <v>370</v>
      </c>
      <c r="G209" s="4">
        <v>46.3</v>
      </c>
      <c r="H209" s="19" t="s">
        <v>13</v>
      </c>
      <c r="I209" s="20" t="s">
        <v>483</v>
      </c>
      <c r="J209" s="21" t="s">
        <v>238</v>
      </c>
      <c r="K209" s="12" t="s">
        <v>14</v>
      </c>
      <c r="L209" s="17">
        <f t="shared" si="24"/>
        <v>46.3</v>
      </c>
      <c r="M209" s="22" t="s">
        <v>629</v>
      </c>
      <c r="N209" s="79">
        <f>IF(K209="NV","",IF(VLOOKUP(M209,'R_Häufigkeit_Faktoren UHR'!$B$4:$I$24,7,FALSE)=0,"",VLOOKUP(M209,'R_Häufigkeit_Faktoren UHR'!$B$4:$I$24,7,FALSE)))</f>
        <v>4.3452380952380958</v>
      </c>
      <c r="O209" s="3">
        <f t="shared" si="25"/>
        <v>201.18452380952382</v>
      </c>
      <c r="P209" s="325"/>
      <c r="Q209" s="156">
        <f>IF(N209="","",VLOOKUP(J209,Raumgruppen_Leistungswerte!$B$5:$F$35,5,FALSE))</f>
        <v>0</v>
      </c>
      <c r="R209" s="157" t="e">
        <f t="shared" si="26"/>
        <v>#DIV/0!</v>
      </c>
      <c r="S209" s="445" t="e">
        <f t="shared" si="27"/>
        <v>#DIV/0!</v>
      </c>
      <c r="T209" s="78" t="str">
        <f>IF(K209="NV","",IF(VLOOKUP(M209,'R_Häufigkeit_Faktoren UHR'!$B$4:$I$24,8,FALSE)=0,"",VLOOKUP(M209,'R_Häufigkeit_Faktoren UHR'!$B$4:$I$24,8,FALSE)))</f>
        <v/>
      </c>
      <c r="U209" s="156" t="str">
        <f t="shared" si="28"/>
        <v/>
      </c>
      <c r="V209" s="427"/>
      <c r="W209" s="12" t="str">
        <f>IF(T209="","",VLOOKUP(J209,Raumgruppen_Leistungswerte!$B$5:$F$35,5,FALSE))</f>
        <v/>
      </c>
      <c r="X209" s="156" t="str">
        <f t="shared" si="29"/>
        <v/>
      </c>
      <c r="Y209" s="446" t="str">
        <f t="shared" si="30"/>
        <v/>
      </c>
      <c r="Z209" s="158">
        <f t="shared" si="31"/>
        <v>201.18452380952382</v>
      </c>
      <c r="AA209" s="23" t="e">
        <f t="shared" si="32"/>
        <v>#DIV/0!</v>
      </c>
      <c r="AB209" s="445" t="e">
        <f t="shared" si="33"/>
        <v>#DIV/0!</v>
      </c>
      <c r="AC209" s="123"/>
    </row>
    <row r="210" spans="1:29" ht="12" customHeight="1">
      <c r="A210" s="11">
        <v>206</v>
      </c>
      <c r="B210" s="12" t="s">
        <v>367</v>
      </c>
      <c r="C210" s="17">
        <v>6</v>
      </c>
      <c r="D210" s="19" t="s">
        <v>390</v>
      </c>
      <c r="E210" s="17">
        <v>1</v>
      </c>
      <c r="F210" s="18" t="s">
        <v>384</v>
      </c>
      <c r="G210" s="4">
        <v>10.3</v>
      </c>
      <c r="H210" s="19" t="s">
        <v>385</v>
      </c>
      <c r="I210" s="20" t="s">
        <v>406</v>
      </c>
      <c r="J210" s="21" t="s">
        <v>1</v>
      </c>
      <c r="K210" s="12" t="s">
        <v>14</v>
      </c>
      <c r="L210" s="17">
        <f t="shared" si="24"/>
        <v>10.3</v>
      </c>
      <c r="M210" s="22" t="s">
        <v>629</v>
      </c>
      <c r="N210" s="79">
        <f>IF(K210="NV","",IF(VLOOKUP(M210,'R_Häufigkeit_Faktoren UHR'!$B$4:$I$24,7,FALSE)=0,"",VLOOKUP(M210,'R_Häufigkeit_Faktoren UHR'!$B$4:$I$24,7,FALSE)))</f>
        <v>4.3452380952380958</v>
      </c>
      <c r="O210" s="3">
        <f t="shared" si="25"/>
        <v>44.755952380952387</v>
      </c>
      <c r="P210" s="325"/>
      <c r="Q210" s="156">
        <f>IF(N210="","",VLOOKUP(J210,Raumgruppen_Leistungswerte!$B$5:$F$35,5,FALSE))</f>
        <v>0</v>
      </c>
      <c r="R210" s="157" t="e">
        <f t="shared" si="26"/>
        <v>#DIV/0!</v>
      </c>
      <c r="S210" s="445" t="e">
        <f t="shared" si="27"/>
        <v>#DIV/0!</v>
      </c>
      <c r="T210" s="78" t="str">
        <f>IF(K210="NV","",IF(VLOOKUP(M210,'R_Häufigkeit_Faktoren UHR'!$B$4:$I$24,8,FALSE)=0,"",VLOOKUP(M210,'R_Häufigkeit_Faktoren UHR'!$B$4:$I$24,8,FALSE)))</f>
        <v/>
      </c>
      <c r="U210" s="156" t="str">
        <f t="shared" si="28"/>
        <v/>
      </c>
      <c r="V210" s="427"/>
      <c r="W210" s="12" t="str">
        <f>IF(T210="","",VLOOKUP(J210,Raumgruppen_Leistungswerte!$B$5:$F$35,5,FALSE))</f>
        <v/>
      </c>
      <c r="X210" s="156" t="str">
        <f t="shared" si="29"/>
        <v/>
      </c>
      <c r="Y210" s="446" t="str">
        <f t="shared" si="30"/>
        <v/>
      </c>
      <c r="Z210" s="158">
        <f t="shared" si="31"/>
        <v>44.755952380952387</v>
      </c>
      <c r="AA210" s="23" t="e">
        <f t="shared" si="32"/>
        <v>#DIV/0!</v>
      </c>
      <c r="AB210" s="445" t="e">
        <f t="shared" si="33"/>
        <v>#DIV/0!</v>
      </c>
      <c r="AC210" s="123"/>
    </row>
    <row r="211" spans="1:29" ht="12" customHeight="1">
      <c r="A211" s="11">
        <v>207</v>
      </c>
      <c r="B211" s="12" t="s">
        <v>367</v>
      </c>
      <c r="C211" s="17">
        <v>6</v>
      </c>
      <c r="D211" s="19" t="s">
        <v>390</v>
      </c>
      <c r="E211" s="17">
        <v>1</v>
      </c>
      <c r="F211" s="18" t="s">
        <v>386</v>
      </c>
      <c r="G211" s="4">
        <v>10.1</v>
      </c>
      <c r="H211" s="19" t="s">
        <v>387</v>
      </c>
      <c r="I211" s="20" t="s">
        <v>406</v>
      </c>
      <c r="J211" s="21" t="s">
        <v>1</v>
      </c>
      <c r="K211" s="12" t="s">
        <v>14</v>
      </c>
      <c r="L211" s="17">
        <f t="shared" si="24"/>
        <v>10.1</v>
      </c>
      <c r="M211" s="22" t="s">
        <v>629</v>
      </c>
      <c r="N211" s="79">
        <f>IF(K211="NV","",IF(VLOOKUP(M211,'R_Häufigkeit_Faktoren UHR'!$B$4:$I$24,7,FALSE)=0,"",VLOOKUP(M211,'R_Häufigkeit_Faktoren UHR'!$B$4:$I$24,7,FALSE)))</f>
        <v>4.3452380952380958</v>
      </c>
      <c r="O211" s="3">
        <f t="shared" si="25"/>
        <v>43.886904761904766</v>
      </c>
      <c r="P211" s="325"/>
      <c r="Q211" s="156">
        <f>IF(N211="","",VLOOKUP(J211,Raumgruppen_Leistungswerte!$B$5:$F$35,5,FALSE))</f>
        <v>0</v>
      </c>
      <c r="R211" s="157" t="e">
        <f t="shared" si="26"/>
        <v>#DIV/0!</v>
      </c>
      <c r="S211" s="445" t="e">
        <f t="shared" si="27"/>
        <v>#DIV/0!</v>
      </c>
      <c r="T211" s="78" t="str">
        <f>IF(K211="NV","",IF(VLOOKUP(M211,'R_Häufigkeit_Faktoren UHR'!$B$4:$I$24,8,FALSE)=0,"",VLOOKUP(M211,'R_Häufigkeit_Faktoren UHR'!$B$4:$I$24,8,FALSE)))</f>
        <v/>
      </c>
      <c r="U211" s="156" t="str">
        <f t="shared" si="28"/>
        <v/>
      </c>
      <c r="V211" s="427"/>
      <c r="W211" s="12" t="str">
        <f>IF(T211="","",VLOOKUP(J211,Raumgruppen_Leistungswerte!$B$5:$F$35,5,FALSE))</f>
        <v/>
      </c>
      <c r="X211" s="156" t="str">
        <f t="shared" si="29"/>
        <v/>
      </c>
      <c r="Y211" s="446" t="str">
        <f t="shared" si="30"/>
        <v/>
      </c>
      <c r="Z211" s="158">
        <f t="shared" si="31"/>
        <v>43.886904761904766</v>
      </c>
      <c r="AA211" s="23" t="e">
        <f t="shared" si="32"/>
        <v>#DIV/0!</v>
      </c>
      <c r="AB211" s="445" t="e">
        <f t="shared" si="33"/>
        <v>#DIV/0!</v>
      </c>
      <c r="AC211" s="123"/>
    </row>
    <row r="212" spans="1:29" ht="12" customHeight="1">
      <c r="A212" s="11">
        <v>208</v>
      </c>
      <c r="B212" s="12" t="s">
        <v>367</v>
      </c>
      <c r="C212" s="17">
        <v>6</v>
      </c>
      <c r="D212" s="19" t="s">
        <v>390</v>
      </c>
      <c r="E212" s="17">
        <v>1</v>
      </c>
      <c r="F212" s="18" t="s">
        <v>424</v>
      </c>
      <c r="G212" s="4">
        <v>5.8</v>
      </c>
      <c r="H212" s="19" t="s">
        <v>425</v>
      </c>
      <c r="I212" s="20" t="s">
        <v>406</v>
      </c>
      <c r="J212" s="21" t="s">
        <v>1</v>
      </c>
      <c r="K212" s="12" t="s">
        <v>14</v>
      </c>
      <c r="L212" s="17">
        <f t="shared" si="24"/>
        <v>5.8</v>
      </c>
      <c r="M212" s="22" t="s">
        <v>629</v>
      </c>
      <c r="N212" s="79">
        <f>IF(K212="NV","",IF(VLOOKUP(M212,'R_Häufigkeit_Faktoren UHR'!$B$4:$I$24,7,FALSE)=0,"",VLOOKUP(M212,'R_Häufigkeit_Faktoren UHR'!$B$4:$I$24,7,FALSE)))</f>
        <v>4.3452380952380958</v>
      </c>
      <c r="O212" s="3">
        <f t="shared" si="25"/>
        <v>25.202380952380956</v>
      </c>
      <c r="P212" s="325"/>
      <c r="Q212" s="156">
        <f>IF(N212="","",VLOOKUP(J212,Raumgruppen_Leistungswerte!$B$5:$F$35,5,FALSE))</f>
        <v>0</v>
      </c>
      <c r="R212" s="157" t="e">
        <f t="shared" si="26"/>
        <v>#DIV/0!</v>
      </c>
      <c r="S212" s="445" t="e">
        <f t="shared" si="27"/>
        <v>#DIV/0!</v>
      </c>
      <c r="T212" s="78" t="str">
        <f>IF(K212="NV","",IF(VLOOKUP(M212,'R_Häufigkeit_Faktoren UHR'!$B$4:$I$24,8,FALSE)=0,"",VLOOKUP(M212,'R_Häufigkeit_Faktoren UHR'!$B$4:$I$24,8,FALSE)))</f>
        <v/>
      </c>
      <c r="U212" s="156" t="str">
        <f t="shared" si="28"/>
        <v/>
      </c>
      <c r="V212" s="427"/>
      <c r="W212" s="12" t="str">
        <f>IF(T212="","",VLOOKUP(J212,Raumgruppen_Leistungswerte!$B$5:$F$35,5,FALSE))</f>
        <v/>
      </c>
      <c r="X212" s="156" t="str">
        <f t="shared" si="29"/>
        <v/>
      </c>
      <c r="Y212" s="446" t="str">
        <f t="shared" si="30"/>
        <v/>
      </c>
      <c r="Z212" s="158">
        <f t="shared" si="31"/>
        <v>25.202380952380956</v>
      </c>
      <c r="AA212" s="23" t="e">
        <f t="shared" si="32"/>
        <v>#DIV/0!</v>
      </c>
      <c r="AB212" s="445" t="e">
        <f t="shared" si="33"/>
        <v>#DIV/0!</v>
      </c>
      <c r="AC212" s="123"/>
    </row>
    <row r="213" spans="1:29" ht="12" customHeight="1">
      <c r="A213" s="11">
        <v>209</v>
      </c>
      <c r="B213" s="12" t="s">
        <v>367</v>
      </c>
      <c r="C213" s="17">
        <v>6</v>
      </c>
      <c r="D213" s="19" t="s">
        <v>416</v>
      </c>
      <c r="E213" s="17">
        <v>1</v>
      </c>
      <c r="F213" s="18" t="s">
        <v>423</v>
      </c>
      <c r="G213" s="4">
        <v>6.1</v>
      </c>
      <c r="H213" s="19" t="s">
        <v>418</v>
      </c>
      <c r="I213" s="14" t="s">
        <v>383</v>
      </c>
      <c r="J213" s="21" t="s">
        <v>121</v>
      </c>
      <c r="K213" s="12" t="s">
        <v>14</v>
      </c>
      <c r="L213" s="4">
        <f t="shared" si="24"/>
        <v>6.1</v>
      </c>
      <c r="M213" s="22" t="s">
        <v>629</v>
      </c>
      <c r="N213" s="79">
        <f>IF(K213="NV","",IF(VLOOKUP(M213,'R_Häufigkeit_Faktoren UHR'!$B$4:$I$24,7,FALSE)=0,"",VLOOKUP(M213,'R_Häufigkeit_Faktoren UHR'!$B$4:$I$24,7,FALSE)))</f>
        <v>4.3452380952380958</v>
      </c>
      <c r="O213" s="3">
        <f t="shared" si="25"/>
        <v>26.505952380952383</v>
      </c>
      <c r="P213" s="325"/>
      <c r="Q213" s="156">
        <f>IF(N213="","",VLOOKUP(J213,Raumgruppen_Leistungswerte!$B$5:$F$35,5,FALSE))</f>
        <v>0</v>
      </c>
      <c r="R213" s="157" t="e">
        <f t="shared" si="26"/>
        <v>#DIV/0!</v>
      </c>
      <c r="S213" s="445" t="e">
        <f t="shared" si="27"/>
        <v>#DIV/0!</v>
      </c>
      <c r="T213" s="78" t="str">
        <f>IF(K213="NV","",IF(VLOOKUP(M213,'R_Häufigkeit_Faktoren UHR'!$B$4:$I$24,8,FALSE)=0,"",VLOOKUP(M213,'R_Häufigkeit_Faktoren UHR'!$B$4:$I$24,8,FALSE)))</f>
        <v/>
      </c>
      <c r="U213" s="156" t="str">
        <f t="shared" si="28"/>
        <v/>
      </c>
      <c r="V213" s="427"/>
      <c r="W213" s="12" t="str">
        <f>IF(T213="","",VLOOKUP(J213,Raumgruppen_Leistungswerte!$B$5:$F$35,5,FALSE))</f>
        <v/>
      </c>
      <c r="X213" s="156" t="str">
        <f t="shared" si="29"/>
        <v/>
      </c>
      <c r="Y213" s="446" t="str">
        <f t="shared" si="30"/>
        <v/>
      </c>
      <c r="Z213" s="158">
        <f t="shared" si="31"/>
        <v>26.505952380952383</v>
      </c>
      <c r="AA213" s="23" t="e">
        <f t="shared" si="32"/>
        <v>#DIV/0!</v>
      </c>
      <c r="AB213" s="445" t="e">
        <f t="shared" si="33"/>
        <v>#DIV/0!</v>
      </c>
      <c r="AC213" s="123"/>
    </row>
    <row r="214" spans="1:29" ht="12" customHeight="1">
      <c r="A214" s="11">
        <v>210</v>
      </c>
      <c r="B214" s="12" t="s">
        <v>367</v>
      </c>
      <c r="C214" s="17">
        <v>6</v>
      </c>
      <c r="D214" s="19" t="s">
        <v>287</v>
      </c>
      <c r="E214" s="17">
        <v>1</v>
      </c>
      <c r="F214" s="18" t="s">
        <v>417</v>
      </c>
      <c r="G214" s="4">
        <v>4.7</v>
      </c>
      <c r="H214" s="19" t="s">
        <v>484</v>
      </c>
      <c r="I214" s="20" t="s">
        <v>383</v>
      </c>
      <c r="J214" s="21" t="s">
        <v>121</v>
      </c>
      <c r="K214" s="12" t="s">
        <v>14</v>
      </c>
      <c r="L214" s="4">
        <f t="shared" si="24"/>
        <v>4.7</v>
      </c>
      <c r="M214" s="22" t="s">
        <v>629</v>
      </c>
      <c r="N214" s="79">
        <f>IF(K214="NV","",IF(VLOOKUP(M214,'R_Häufigkeit_Faktoren UHR'!$B$4:$I$24,7,FALSE)=0,"",VLOOKUP(M214,'R_Häufigkeit_Faktoren UHR'!$B$4:$I$24,7,FALSE)))</f>
        <v>4.3452380952380958</v>
      </c>
      <c r="O214" s="3">
        <f t="shared" si="25"/>
        <v>20.422619047619051</v>
      </c>
      <c r="P214" s="325"/>
      <c r="Q214" s="156">
        <f>IF(N214="","",VLOOKUP(J214,Raumgruppen_Leistungswerte!$B$5:$F$35,5,FALSE))</f>
        <v>0</v>
      </c>
      <c r="R214" s="157" t="e">
        <f t="shared" si="26"/>
        <v>#DIV/0!</v>
      </c>
      <c r="S214" s="445" t="e">
        <f t="shared" si="27"/>
        <v>#DIV/0!</v>
      </c>
      <c r="T214" s="78" t="str">
        <f>IF(K214="NV","",IF(VLOOKUP(M214,'R_Häufigkeit_Faktoren UHR'!$B$4:$I$24,8,FALSE)=0,"",VLOOKUP(M214,'R_Häufigkeit_Faktoren UHR'!$B$4:$I$24,8,FALSE)))</f>
        <v/>
      </c>
      <c r="U214" s="156" t="str">
        <f t="shared" si="28"/>
        <v/>
      </c>
      <c r="V214" s="427"/>
      <c r="W214" s="12" t="str">
        <f>IF(T214="","",VLOOKUP(J214,Raumgruppen_Leistungswerte!$B$5:$F$35,5,FALSE))</f>
        <v/>
      </c>
      <c r="X214" s="156" t="str">
        <f t="shared" si="29"/>
        <v/>
      </c>
      <c r="Y214" s="446" t="str">
        <f t="shared" si="30"/>
        <v/>
      </c>
      <c r="Z214" s="158">
        <f t="shared" si="31"/>
        <v>20.422619047619051</v>
      </c>
      <c r="AA214" s="23" t="e">
        <f t="shared" si="32"/>
        <v>#DIV/0!</v>
      </c>
      <c r="AB214" s="445" t="e">
        <f t="shared" si="33"/>
        <v>#DIV/0!</v>
      </c>
      <c r="AC214" s="123"/>
    </row>
    <row r="215" spans="1:29" ht="12" customHeight="1">
      <c r="A215" s="11">
        <v>211</v>
      </c>
      <c r="B215" s="12" t="s">
        <v>367</v>
      </c>
      <c r="C215" s="17">
        <v>6</v>
      </c>
      <c r="D215" s="19" t="s">
        <v>416</v>
      </c>
      <c r="E215" s="17">
        <v>1</v>
      </c>
      <c r="F215" s="18" t="s">
        <v>407</v>
      </c>
      <c r="G215" s="4">
        <v>2.4</v>
      </c>
      <c r="H215" s="19" t="s">
        <v>418</v>
      </c>
      <c r="I215" s="20" t="s">
        <v>383</v>
      </c>
      <c r="J215" s="21" t="s">
        <v>121</v>
      </c>
      <c r="K215" s="12" t="s">
        <v>14</v>
      </c>
      <c r="L215" s="4">
        <f t="shared" si="24"/>
        <v>2.4</v>
      </c>
      <c r="M215" s="22" t="s">
        <v>629</v>
      </c>
      <c r="N215" s="79">
        <f>IF(K215="NV","",IF(VLOOKUP(M215,'R_Häufigkeit_Faktoren UHR'!$B$4:$I$24,7,FALSE)=0,"",VLOOKUP(M215,'R_Häufigkeit_Faktoren UHR'!$B$4:$I$24,7,FALSE)))</f>
        <v>4.3452380952380958</v>
      </c>
      <c r="O215" s="3">
        <f t="shared" si="25"/>
        <v>10.428571428571429</v>
      </c>
      <c r="P215" s="325"/>
      <c r="Q215" s="156">
        <f>IF(N215="","",VLOOKUP(J215,Raumgruppen_Leistungswerte!$B$5:$F$35,5,FALSE))</f>
        <v>0</v>
      </c>
      <c r="R215" s="157" t="e">
        <f t="shared" si="26"/>
        <v>#DIV/0!</v>
      </c>
      <c r="S215" s="445" t="e">
        <f t="shared" si="27"/>
        <v>#DIV/0!</v>
      </c>
      <c r="T215" s="78" t="str">
        <f>IF(K215="NV","",IF(VLOOKUP(M215,'R_Häufigkeit_Faktoren UHR'!$B$4:$I$24,8,FALSE)=0,"",VLOOKUP(M215,'R_Häufigkeit_Faktoren UHR'!$B$4:$I$24,8,FALSE)))</f>
        <v/>
      </c>
      <c r="U215" s="156" t="str">
        <f t="shared" si="28"/>
        <v/>
      </c>
      <c r="V215" s="427"/>
      <c r="W215" s="12" t="str">
        <f>IF(T215="","",VLOOKUP(J215,Raumgruppen_Leistungswerte!$B$5:$F$35,5,FALSE))</f>
        <v/>
      </c>
      <c r="X215" s="156" t="str">
        <f t="shared" si="29"/>
        <v/>
      </c>
      <c r="Y215" s="446" t="str">
        <f t="shared" si="30"/>
        <v/>
      </c>
      <c r="Z215" s="158">
        <f t="shared" si="31"/>
        <v>10.428571428571429</v>
      </c>
      <c r="AA215" s="23" t="e">
        <f t="shared" si="32"/>
        <v>#DIV/0!</v>
      </c>
      <c r="AB215" s="445" t="e">
        <f t="shared" si="33"/>
        <v>#DIV/0!</v>
      </c>
      <c r="AC215" s="123"/>
    </row>
    <row r="216" spans="1:29" ht="12" customHeight="1">
      <c r="A216" s="11">
        <v>212</v>
      </c>
      <c r="B216" s="12" t="s">
        <v>367</v>
      </c>
      <c r="C216" s="17">
        <v>6</v>
      </c>
      <c r="D216" s="19" t="s">
        <v>485</v>
      </c>
      <c r="E216" s="17">
        <v>1</v>
      </c>
      <c r="F216" s="18" t="s">
        <v>486</v>
      </c>
      <c r="G216" s="4">
        <v>23.5</v>
      </c>
      <c r="H216" s="19" t="s">
        <v>394</v>
      </c>
      <c r="I216" s="20" t="s">
        <v>483</v>
      </c>
      <c r="J216" s="21" t="s">
        <v>219</v>
      </c>
      <c r="K216" s="12" t="s">
        <v>14</v>
      </c>
      <c r="L216" s="17">
        <f t="shared" si="24"/>
        <v>23.5</v>
      </c>
      <c r="M216" s="22" t="s">
        <v>629</v>
      </c>
      <c r="N216" s="79">
        <f>IF(K216="NV","",IF(VLOOKUP(M216,'R_Häufigkeit_Faktoren UHR'!$B$4:$I$24,7,FALSE)=0,"",VLOOKUP(M216,'R_Häufigkeit_Faktoren UHR'!$B$4:$I$24,7,FALSE)))</f>
        <v>4.3452380952380958</v>
      </c>
      <c r="O216" s="3">
        <f t="shared" si="25"/>
        <v>102.11309523809526</v>
      </c>
      <c r="P216" s="325"/>
      <c r="Q216" s="156">
        <f>IF(N216="","",VLOOKUP(J216,Raumgruppen_Leistungswerte!$B$5:$F$35,5,FALSE))</f>
        <v>0</v>
      </c>
      <c r="R216" s="157" t="e">
        <f t="shared" si="26"/>
        <v>#DIV/0!</v>
      </c>
      <c r="S216" s="445" t="e">
        <f t="shared" si="27"/>
        <v>#DIV/0!</v>
      </c>
      <c r="T216" s="78" t="str">
        <f>IF(K216="NV","",IF(VLOOKUP(M216,'R_Häufigkeit_Faktoren UHR'!$B$4:$I$24,8,FALSE)=0,"",VLOOKUP(M216,'R_Häufigkeit_Faktoren UHR'!$B$4:$I$24,8,FALSE)))</f>
        <v/>
      </c>
      <c r="U216" s="156" t="str">
        <f t="shared" si="28"/>
        <v/>
      </c>
      <c r="V216" s="427"/>
      <c r="W216" s="12" t="str">
        <f>IF(T216="","",VLOOKUP(J216,Raumgruppen_Leistungswerte!$B$5:$F$35,5,FALSE))</f>
        <v/>
      </c>
      <c r="X216" s="156" t="str">
        <f t="shared" si="29"/>
        <v/>
      </c>
      <c r="Y216" s="446" t="str">
        <f t="shared" si="30"/>
        <v/>
      </c>
      <c r="Z216" s="158">
        <f t="shared" si="31"/>
        <v>102.11309523809526</v>
      </c>
      <c r="AA216" s="23" t="e">
        <f t="shared" si="32"/>
        <v>#DIV/0!</v>
      </c>
      <c r="AB216" s="445" t="e">
        <f t="shared" si="33"/>
        <v>#DIV/0!</v>
      </c>
      <c r="AC216" s="123"/>
    </row>
    <row r="217" spans="1:29" ht="12" customHeight="1">
      <c r="A217" s="11">
        <v>213</v>
      </c>
      <c r="B217" s="12" t="s">
        <v>367</v>
      </c>
      <c r="C217" s="17">
        <v>6</v>
      </c>
      <c r="D217" s="19" t="s">
        <v>485</v>
      </c>
      <c r="E217" s="17">
        <v>1</v>
      </c>
      <c r="F217" s="18" t="s">
        <v>487</v>
      </c>
      <c r="G217" s="4">
        <v>31.3</v>
      </c>
      <c r="H217" s="19" t="s">
        <v>436</v>
      </c>
      <c r="I217" s="20" t="s">
        <v>483</v>
      </c>
      <c r="J217" s="21" t="s">
        <v>219</v>
      </c>
      <c r="K217" s="12" t="s">
        <v>14</v>
      </c>
      <c r="L217" s="17">
        <f t="shared" si="24"/>
        <v>31.3</v>
      </c>
      <c r="M217" s="22" t="s">
        <v>629</v>
      </c>
      <c r="N217" s="79">
        <f>IF(K217="NV","",IF(VLOOKUP(M217,'R_Häufigkeit_Faktoren UHR'!$B$4:$I$24,7,FALSE)=0,"",VLOOKUP(M217,'R_Häufigkeit_Faktoren UHR'!$B$4:$I$24,7,FALSE)))</f>
        <v>4.3452380952380958</v>
      </c>
      <c r="O217" s="3">
        <f t="shared" si="25"/>
        <v>136.00595238095241</v>
      </c>
      <c r="P217" s="325"/>
      <c r="Q217" s="156">
        <f>IF(N217="","",VLOOKUP(J217,Raumgruppen_Leistungswerte!$B$5:$F$35,5,FALSE))</f>
        <v>0</v>
      </c>
      <c r="R217" s="157" t="e">
        <f t="shared" si="26"/>
        <v>#DIV/0!</v>
      </c>
      <c r="S217" s="445" t="e">
        <f t="shared" si="27"/>
        <v>#DIV/0!</v>
      </c>
      <c r="T217" s="78" t="str">
        <f>IF(K217="NV","",IF(VLOOKUP(M217,'R_Häufigkeit_Faktoren UHR'!$B$4:$I$24,8,FALSE)=0,"",VLOOKUP(M217,'R_Häufigkeit_Faktoren UHR'!$B$4:$I$24,8,FALSE)))</f>
        <v/>
      </c>
      <c r="U217" s="156" t="str">
        <f t="shared" si="28"/>
        <v/>
      </c>
      <c r="V217" s="427"/>
      <c r="W217" s="12" t="str">
        <f>IF(T217="","",VLOOKUP(J217,Raumgruppen_Leistungswerte!$B$5:$F$35,5,FALSE))</f>
        <v/>
      </c>
      <c r="X217" s="156" t="str">
        <f t="shared" si="29"/>
        <v/>
      </c>
      <c r="Y217" s="446" t="str">
        <f t="shared" si="30"/>
        <v/>
      </c>
      <c r="Z217" s="158">
        <f t="shared" si="31"/>
        <v>136.00595238095241</v>
      </c>
      <c r="AA217" s="23" t="e">
        <f t="shared" si="32"/>
        <v>#DIV/0!</v>
      </c>
      <c r="AB217" s="445" t="e">
        <f t="shared" si="33"/>
        <v>#DIV/0!</v>
      </c>
      <c r="AC217" s="123"/>
    </row>
    <row r="218" spans="1:29" ht="12" customHeight="1">
      <c r="A218" s="11">
        <v>214</v>
      </c>
      <c r="B218" s="12" t="s">
        <v>367</v>
      </c>
      <c r="C218" s="17">
        <v>6</v>
      </c>
      <c r="D218" s="19" t="s">
        <v>485</v>
      </c>
      <c r="E218" s="17">
        <v>1</v>
      </c>
      <c r="F218" s="18" t="s">
        <v>488</v>
      </c>
      <c r="G218" s="4">
        <v>198.8</v>
      </c>
      <c r="H218" s="19" t="s">
        <v>402</v>
      </c>
      <c r="I218" s="14" t="s">
        <v>483</v>
      </c>
      <c r="J218" s="21" t="s">
        <v>219</v>
      </c>
      <c r="K218" s="12" t="s">
        <v>14</v>
      </c>
      <c r="L218" s="18">
        <f t="shared" si="24"/>
        <v>198.8</v>
      </c>
      <c r="M218" s="22" t="s">
        <v>629</v>
      </c>
      <c r="N218" s="79">
        <f>IF(K218="NV","",IF(VLOOKUP(M218,'R_Häufigkeit_Faktoren UHR'!$B$4:$I$24,7,FALSE)=0,"",VLOOKUP(M218,'R_Häufigkeit_Faktoren UHR'!$B$4:$I$24,7,FALSE)))</f>
        <v>4.3452380952380958</v>
      </c>
      <c r="O218" s="3">
        <f t="shared" si="25"/>
        <v>863.83333333333348</v>
      </c>
      <c r="P218" s="325"/>
      <c r="Q218" s="156">
        <f>IF(N218="","",VLOOKUP(J218,Raumgruppen_Leistungswerte!$B$5:$F$35,5,FALSE))</f>
        <v>0</v>
      </c>
      <c r="R218" s="157" t="e">
        <f t="shared" si="26"/>
        <v>#DIV/0!</v>
      </c>
      <c r="S218" s="445" t="e">
        <f t="shared" si="27"/>
        <v>#DIV/0!</v>
      </c>
      <c r="T218" s="78" t="str">
        <f>IF(K218="NV","",IF(VLOOKUP(M218,'R_Häufigkeit_Faktoren UHR'!$B$4:$I$24,8,FALSE)=0,"",VLOOKUP(M218,'R_Häufigkeit_Faktoren UHR'!$B$4:$I$24,8,FALSE)))</f>
        <v/>
      </c>
      <c r="U218" s="156" t="str">
        <f t="shared" si="28"/>
        <v/>
      </c>
      <c r="V218" s="427"/>
      <c r="W218" s="12" t="str">
        <f>IF(T218="","",VLOOKUP(J218,Raumgruppen_Leistungswerte!$B$5:$F$35,5,FALSE))</f>
        <v/>
      </c>
      <c r="X218" s="156" t="str">
        <f t="shared" si="29"/>
        <v/>
      </c>
      <c r="Y218" s="446" t="str">
        <f t="shared" si="30"/>
        <v/>
      </c>
      <c r="Z218" s="158">
        <f t="shared" si="31"/>
        <v>863.83333333333348</v>
      </c>
      <c r="AA218" s="23" t="e">
        <f t="shared" si="32"/>
        <v>#DIV/0!</v>
      </c>
      <c r="AB218" s="445" t="e">
        <f t="shared" si="33"/>
        <v>#DIV/0!</v>
      </c>
      <c r="AC218" s="123"/>
    </row>
    <row r="219" spans="1:29" ht="12" customHeight="1">
      <c r="A219" s="11">
        <v>215</v>
      </c>
      <c r="B219" s="12" t="s">
        <v>367</v>
      </c>
      <c r="C219" s="17">
        <v>6</v>
      </c>
      <c r="D219" s="19" t="s">
        <v>485</v>
      </c>
      <c r="E219" s="17">
        <v>1</v>
      </c>
      <c r="F219" s="18" t="s">
        <v>489</v>
      </c>
      <c r="G219" s="4">
        <v>10</v>
      </c>
      <c r="H219" s="19" t="s">
        <v>490</v>
      </c>
      <c r="I219" s="14" t="s">
        <v>483</v>
      </c>
      <c r="J219" s="21" t="s">
        <v>245</v>
      </c>
      <c r="K219" s="12" t="s">
        <v>14</v>
      </c>
      <c r="L219" s="4">
        <f t="shared" si="24"/>
        <v>10</v>
      </c>
      <c r="M219" s="22" t="s">
        <v>629</v>
      </c>
      <c r="N219" s="79">
        <f>IF(K219="NV","",IF(VLOOKUP(M219,'R_Häufigkeit_Faktoren UHR'!$B$4:$I$24,7,FALSE)=0,"",VLOOKUP(M219,'R_Häufigkeit_Faktoren UHR'!$B$4:$I$24,7,FALSE)))</f>
        <v>4.3452380952380958</v>
      </c>
      <c r="O219" s="3">
        <f t="shared" si="25"/>
        <v>43.452380952380956</v>
      </c>
      <c r="P219" s="325"/>
      <c r="Q219" s="156">
        <f>IF(N219="","",VLOOKUP(J219,Raumgruppen_Leistungswerte!$B$5:$F$35,5,FALSE))</f>
        <v>0</v>
      </c>
      <c r="R219" s="157" t="e">
        <f t="shared" si="26"/>
        <v>#DIV/0!</v>
      </c>
      <c r="S219" s="445" t="e">
        <f t="shared" si="27"/>
        <v>#DIV/0!</v>
      </c>
      <c r="T219" s="78" t="str">
        <f>IF(K219="NV","",IF(VLOOKUP(M219,'R_Häufigkeit_Faktoren UHR'!$B$4:$I$24,8,FALSE)=0,"",VLOOKUP(M219,'R_Häufigkeit_Faktoren UHR'!$B$4:$I$24,8,FALSE)))</f>
        <v/>
      </c>
      <c r="U219" s="156" t="str">
        <f t="shared" si="28"/>
        <v/>
      </c>
      <c r="V219" s="427"/>
      <c r="W219" s="12" t="str">
        <f>IF(T219="","",VLOOKUP(J219,Raumgruppen_Leistungswerte!$B$5:$F$35,5,FALSE))</f>
        <v/>
      </c>
      <c r="X219" s="156" t="str">
        <f t="shared" si="29"/>
        <v/>
      </c>
      <c r="Y219" s="446" t="str">
        <f t="shared" si="30"/>
        <v/>
      </c>
      <c r="Z219" s="158">
        <f t="shared" si="31"/>
        <v>43.452380952380956</v>
      </c>
      <c r="AA219" s="23" t="e">
        <f t="shared" si="32"/>
        <v>#DIV/0!</v>
      </c>
      <c r="AB219" s="445" t="e">
        <f t="shared" si="33"/>
        <v>#DIV/0!</v>
      </c>
      <c r="AC219" s="123"/>
    </row>
    <row r="220" spans="1:29" ht="12" customHeight="1">
      <c r="A220" s="11">
        <v>216</v>
      </c>
      <c r="B220" s="12" t="s">
        <v>367</v>
      </c>
      <c r="C220" s="17">
        <v>6</v>
      </c>
      <c r="D220" s="19" t="s">
        <v>485</v>
      </c>
      <c r="E220" s="17">
        <v>1</v>
      </c>
      <c r="F220" s="18" t="s">
        <v>491</v>
      </c>
      <c r="G220" s="4">
        <v>20.2</v>
      </c>
      <c r="H220" s="19" t="s">
        <v>436</v>
      </c>
      <c r="I220" s="14" t="s">
        <v>483</v>
      </c>
      <c r="J220" s="21" t="s">
        <v>219</v>
      </c>
      <c r="K220" s="12" t="s">
        <v>14</v>
      </c>
      <c r="L220" s="17">
        <f t="shared" si="24"/>
        <v>20.2</v>
      </c>
      <c r="M220" s="22" t="s">
        <v>629</v>
      </c>
      <c r="N220" s="79">
        <f>IF(K220="NV","",IF(VLOOKUP(M220,'R_Häufigkeit_Faktoren UHR'!$B$4:$I$24,7,FALSE)=0,"",VLOOKUP(M220,'R_Häufigkeit_Faktoren UHR'!$B$4:$I$24,7,FALSE)))</f>
        <v>4.3452380952380958</v>
      </c>
      <c r="O220" s="3">
        <f t="shared" si="25"/>
        <v>87.773809523809533</v>
      </c>
      <c r="P220" s="325"/>
      <c r="Q220" s="156">
        <f>IF(N220="","",VLOOKUP(J220,Raumgruppen_Leistungswerte!$B$5:$F$35,5,FALSE))</f>
        <v>0</v>
      </c>
      <c r="R220" s="157" t="e">
        <f t="shared" si="26"/>
        <v>#DIV/0!</v>
      </c>
      <c r="S220" s="445" t="e">
        <f t="shared" si="27"/>
        <v>#DIV/0!</v>
      </c>
      <c r="T220" s="78" t="str">
        <f>IF(K220="NV","",IF(VLOOKUP(M220,'R_Häufigkeit_Faktoren UHR'!$B$4:$I$24,8,FALSE)=0,"",VLOOKUP(M220,'R_Häufigkeit_Faktoren UHR'!$B$4:$I$24,8,FALSE)))</f>
        <v/>
      </c>
      <c r="U220" s="156" t="str">
        <f t="shared" si="28"/>
        <v/>
      </c>
      <c r="V220" s="427"/>
      <c r="W220" s="12" t="str">
        <f>IF(T220="","",VLOOKUP(J220,Raumgruppen_Leistungswerte!$B$5:$F$35,5,FALSE))</f>
        <v/>
      </c>
      <c r="X220" s="156" t="str">
        <f t="shared" si="29"/>
        <v/>
      </c>
      <c r="Y220" s="446" t="str">
        <f t="shared" si="30"/>
        <v/>
      </c>
      <c r="Z220" s="158">
        <f t="shared" si="31"/>
        <v>87.773809523809533</v>
      </c>
      <c r="AA220" s="23" t="e">
        <f t="shared" si="32"/>
        <v>#DIV/0!</v>
      </c>
      <c r="AB220" s="445" t="e">
        <f t="shared" si="33"/>
        <v>#DIV/0!</v>
      </c>
      <c r="AC220" s="123"/>
    </row>
    <row r="221" spans="1:29" ht="12" customHeight="1">
      <c r="A221" s="11">
        <v>217</v>
      </c>
      <c r="B221" s="12" t="s">
        <v>367</v>
      </c>
      <c r="C221" s="17">
        <v>6</v>
      </c>
      <c r="D221" s="19" t="s">
        <v>485</v>
      </c>
      <c r="E221" s="17">
        <v>1</v>
      </c>
      <c r="F221" s="18" t="s">
        <v>492</v>
      </c>
      <c r="G221" s="4">
        <v>19.899999999999999</v>
      </c>
      <c r="H221" s="19" t="s">
        <v>480</v>
      </c>
      <c r="I221" s="20" t="s">
        <v>483</v>
      </c>
      <c r="J221" s="21" t="s">
        <v>219</v>
      </c>
      <c r="K221" s="12" t="s">
        <v>14</v>
      </c>
      <c r="L221" s="18">
        <f t="shared" si="24"/>
        <v>19.899999999999999</v>
      </c>
      <c r="M221" s="22" t="s">
        <v>629</v>
      </c>
      <c r="N221" s="79">
        <f>IF(K221="NV","",IF(VLOOKUP(M221,'R_Häufigkeit_Faktoren UHR'!$B$4:$I$24,7,FALSE)=0,"",VLOOKUP(M221,'R_Häufigkeit_Faktoren UHR'!$B$4:$I$24,7,FALSE)))</f>
        <v>4.3452380952380958</v>
      </c>
      <c r="O221" s="3">
        <f t="shared" si="25"/>
        <v>86.470238095238102</v>
      </c>
      <c r="P221" s="325"/>
      <c r="Q221" s="156">
        <f>IF(N221="","",VLOOKUP(J221,Raumgruppen_Leistungswerte!$B$5:$F$35,5,FALSE))</f>
        <v>0</v>
      </c>
      <c r="R221" s="157" t="e">
        <f t="shared" si="26"/>
        <v>#DIV/0!</v>
      </c>
      <c r="S221" s="445" t="e">
        <f t="shared" si="27"/>
        <v>#DIV/0!</v>
      </c>
      <c r="T221" s="78" t="str">
        <f>IF(K221="NV","",IF(VLOOKUP(M221,'R_Häufigkeit_Faktoren UHR'!$B$4:$I$24,8,FALSE)=0,"",VLOOKUP(M221,'R_Häufigkeit_Faktoren UHR'!$B$4:$I$24,8,FALSE)))</f>
        <v/>
      </c>
      <c r="U221" s="156" t="str">
        <f t="shared" si="28"/>
        <v/>
      </c>
      <c r="V221" s="427"/>
      <c r="W221" s="12" t="str">
        <f>IF(T221="","",VLOOKUP(J221,Raumgruppen_Leistungswerte!$B$5:$F$35,5,FALSE))</f>
        <v/>
      </c>
      <c r="X221" s="156" t="str">
        <f t="shared" si="29"/>
        <v/>
      </c>
      <c r="Y221" s="446" t="str">
        <f t="shared" si="30"/>
        <v/>
      </c>
      <c r="Z221" s="158">
        <f t="shared" si="31"/>
        <v>86.470238095238102</v>
      </c>
      <c r="AA221" s="23" t="e">
        <f t="shared" si="32"/>
        <v>#DIV/0!</v>
      </c>
      <c r="AB221" s="445" t="e">
        <f t="shared" si="33"/>
        <v>#DIV/0!</v>
      </c>
      <c r="AC221" s="123"/>
    </row>
    <row r="222" spans="1:29" ht="12" customHeight="1">
      <c r="A222" s="11">
        <v>218</v>
      </c>
      <c r="B222" s="12" t="s">
        <v>367</v>
      </c>
      <c r="C222" s="17">
        <v>6</v>
      </c>
      <c r="D222" s="19" t="s">
        <v>485</v>
      </c>
      <c r="E222" s="17">
        <v>1</v>
      </c>
      <c r="F222" s="18" t="s">
        <v>493</v>
      </c>
      <c r="G222" s="4">
        <v>28.4</v>
      </c>
      <c r="H222" s="19" t="s">
        <v>494</v>
      </c>
      <c r="I222" s="20" t="s">
        <v>483</v>
      </c>
      <c r="J222" s="21" t="s">
        <v>251</v>
      </c>
      <c r="K222" s="12" t="s">
        <v>14</v>
      </c>
      <c r="L222" s="4">
        <f t="shared" si="24"/>
        <v>28.4</v>
      </c>
      <c r="M222" s="22" t="s">
        <v>629</v>
      </c>
      <c r="N222" s="79">
        <f>IF(K222="NV","",IF(VLOOKUP(M222,'R_Häufigkeit_Faktoren UHR'!$B$4:$I$24,7,FALSE)=0,"",VLOOKUP(M222,'R_Häufigkeit_Faktoren UHR'!$B$4:$I$24,7,FALSE)))</f>
        <v>4.3452380952380958</v>
      </c>
      <c r="O222" s="3">
        <f t="shared" si="25"/>
        <v>123.40476190476191</v>
      </c>
      <c r="P222" s="325"/>
      <c r="Q222" s="156">
        <f>IF(N222="","",VLOOKUP(J222,Raumgruppen_Leistungswerte!$B$5:$F$35,5,FALSE))</f>
        <v>0</v>
      </c>
      <c r="R222" s="157" t="e">
        <f t="shared" si="26"/>
        <v>#DIV/0!</v>
      </c>
      <c r="S222" s="445" t="e">
        <f t="shared" si="27"/>
        <v>#DIV/0!</v>
      </c>
      <c r="T222" s="78" t="str">
        <f>IF(K222="NV","",IF(VLOOKUP(M222,'R_Häufigkeit_Faktoren UHR'!$B$4:$I$24,8,FALSE)=0,"",VLOOKUP(M222,'R_Häufigkeit_Faktoren UHR'!$B$4:$I$24,8,FALSE)))</f>
        <v/>
      </c>
      <c r="U222" s="156" t="str">
        <f t="shared" si="28"/>
        <v/>
      </c>
      <c r="V222" s="427"/>
      <c r="W222" s="12" t="str">
        <f>IF(T222="","",VLOOKUP(J222,Raumgruppen_Leistungswerte!$B$5:$F$35,5,FALSE))</f>
        <v/>
      </c>
      <c r="X222" s="156" t="str">
        <f t="shared" si="29"/>
        <v/>
      </c>
      <c r="Y222" s="446" t="str">
        <f t="shared" si="30"/>
        <v/>
      </c>
      <c r="Z222" s="158">
        <f t="shared" si="31"/>
        <v>123.40476190476191</v>
      </c>
      <c r="AA222" s="23" t="e">
        <f t="shared" si="32"/>
        <v>#DIV/0!</v>
      </c>
      <c r="AB222" s="445" t="e">
        <f t="shared" si="33"/>
        <v>#DIV/0!</v>
      </c>
      <c r="AC222" s="123"/>
    </row>
    <row r="223" spans="1:29" ht="12" customHeight="1">
      <c r="A223" s="11">
        <v>219</v>
      </c>
      <c r="B223" s="12" t="s">
        <v>367</v>
      </c>
      <c r="C223" s="17">
        <v>6</v>
      </c>
      <c r="D223" s="19" t="s">
        <v>272</v>
      </c>
      <c r="E223" s="17">
        <v>1</v>
      </c>
      <c r="F223" s="18" t="s">
        <v>333</v>
      </c>
      <c r="G223" s="4">
        <v>21.5</v>
      </c>
      <c r="H223" s="19" t="s">
        <v>365</v>
      </c>
      <c r="I223" s="14" t="s">
        <v>335</v>
      </c>
      <c r="J223" s="21" t="s">
        <v>240</v>
      </c>
      <c r="K223" s="12" t="s">
        <v>14</v>
      </c>
      <c r="L223" s="17">
        <f t="shared" si="24"/>
        <v>21.5</v>
      </c>
      <c r="M223" s="22" t="s">
        <v>629</v>
      </c>
      <c r="N223" s="79">
        <f>IF(K223="NV","",IF(VLOOKUP(M223,'R_Häufigkeit_Faktoren UHR'!$B$4:$I$24,7,FALSE)=0,"",VLOOKUP(M223,'R_Häufigkeit_Faktoren UHR'!$B$4:$I$24,7,FALSE)))</f>
        <v>4.3452380952380958</v>
      </c>
      <c r="O223" s="3">
        <f t="shared" si="25"/>
        <v>93.422619047619065</v>
      </c>
      <c r="P223" s="325"/>
      <c r="Q223" s="156">
        <f>IF(N223="","",VLOOKUP(J223,Raumgruppen_Leistungswerte!$B$5:$F$35,5,FALSE))</f>
        <v>0</v>
      </c>
      <c r="R223" s="157" t="e">
        <f t="shared" si="26"/>
        <v>#DIV/0!</v>
      </c>
      <c r="S223" s="445" t="e">
        <f t="shared" si="27"/>
        <v>#DIV/0!</v>
      </c>
      <c r="T223" s="78" t="str">
        <f>IF(K223="NV","",IF(VLOOKUP(M223,'R_Häufigkeit_Faktoren UHR'!$B$4:$I$24,8,FALSE)=0,"",VLOOKUP(M223,'R_Häufigkeit_Faktoren UHR'!$B$4:$I$24,8,FALSE)))</f>
        <v/>
      </c>
      <c r="U223" s="156" t="str">
        <f t="shared" si="28"/>
        <v/>
      </c>
      <c r="V223" s="427"/>
      <c r="W223" s="12" t="str">
        <f>IF(T223="","",VLOOKUP(J223,Raumgruppen_Leistungswerte!$B$5:$F$35,5,FALSE))</f>
        <v/>
      </c>
      <c r="X223" s="156" t="str">
        <f t="shared" si="29"/>
        <v/>
      </c>
      <c r="Y223" s="446" t="str">
        <f t="shared" si="30"/>
        <v/>
      </c>
      <c r="Z223" s="158">
        <f t="shared" si="31"/>
        <v>93.422619047619065</v>
      </c>
      <c r="AA223" s="23" t="e">
        <f t="shared" si="32"/>
        <v>#DIV/0!</v>
      </c>
      <c r="AB223" s="445" t="e">
        <f t="shared" si="33"/>
        <v>#DIV/0!</v>
      </c>
      <c r="AC223" s="123"/>
    </row>
    <row r="224" spans="1:29" ht="12" customHeight="1">
      <c r="A224" s="11">
        <v>220</v>
      </c>
      <c r="B224" s="12" t="s">
        <v>367</v>
      </c>
      <c r="C224" s="17">
        <v>6</v>
      </c>
      <c r="D224" s="19" t="s">
        <v>287</v>
      </c>
      <c r="E224" s="17">
        <v>1</v>
      </c>
      <c r="F224" s="18" t="s">
        <v>336</v>
      </c>
      <c r="G224" s="4">
        <v>6.1</v>
      </c>
      <c r="H224" s="19" t="s">
        <v>337</v>
      </c>
      <c r="I224" s="20" t="s">
        <v>335</v>
      </c>
      <c r="J224" s="21" t="s">
        <v>242</v>
      </c>
      <c r="K224" s="12" t="s">
        <v>14</v>
      </c>
      <c r="L224" s="18">
        <f t="shared" si="24"/>
        <v>6.1</v>
      </c>
      <c r="M224" s="22" t="s">
        <v>629</v>
      </c>
      <c r="N224" s="79">
        <f>IF(K224="NV","",IF(VLOOKUP(M224,'R_Häufigkeit_Faktoren UHR'!$B$4:$I$24,7,FALSE)=0,"",VLOOKUP(M224,'R_Häufigkeit_Faktoren UHR'!$B$4:$I$24,7,FALSE)))</f>
        <v>4.3452380952380958</v>
      </c>
      <c r="O224" s="3">
        <f t="shared" si="25"/>
        <v>26.505952380952383</v>
      </c>
      <c r="P224" s="325"/>
      <c r="Q224" s="156">
        <f>IF(N224="","",VLOOKUP(J224,Raumgruppen_Leistungswerte!$B$5:$F$35,5,FALSE))</f>
        <v>0</v>
      </c>
      <c r="R224" s="157" t="e">
        <f t="shared" si="26"/>
        <v>#DIV/0!</v>
      </c>
      <c r="S224" s="445" t="e">
        <f t="shared" si="27"/>
        <v>#DIV/0!</v>
      </c>
      <c r="T224" s="78" t="str">
        <f>IF(K224="NV","",IF(VLOOKUP(M224,'R_Häufigkeit_Faktoren UHR'!$B$4:$I$24,8,FALSE)=0,"",VLOOKUP(M224,'R_Häufigkeit_Faktoren UHR'!$B$4:$I$24,8,FALSE)))</f>
        <v/>
      </c>
      <c r="U224" s="156" t="str">
        <f t="shared" si="28"/>
        <v/>
      </c>
      <c r="V224" s="427"/>
      <c r="W224" s="12" t="str">
        <f>IF(T224="","",VLOOKUP(J224,Raumgruppen_Leistungswerte!$B$5:$F$35,5,FALSE))</f>
        <v/>
      </c>
      <c r="X224" s="156" t="str">
        <f t="shared" si="29"/>
        <v/>
      </c>
      <c r="Y224" s="446" t="str">
        <f t="shared" si="30"/>
        <v/>
      </c>
      <c r="Z224" s="158">
        <f t="shared" si="31"/>
        <v>26.505952380952383</v>
      </c>
      <c r="AA224" s="23" t="e">
        <f t="shared" si="32"/>
        <v>#DIV/0!</v>
      </c>
      <c r="AB224" s="445" t="e">
        <f t="shared" si="33"/>
        <v>#DIV/0!</v>
      </c>
      <c r="AC224" s="123"/>
    </row>
    <row r="225" spans="1:29" ht="12" customHeight="1">
      <c r="A225" s="11">
        <v>221</v>
      </c>
      <c r="B225" s="12" t="s">
        <v>367</v>
      </c>
      <c r="C225" s="17">
        <v>6</v>
      </c>
      <c r="D225" s="19" t="s">
        <v>272</v>
      </c>
      <c r="E225" s="17">
        <v>1</v>
      </c>
      <c r="F225" s="18" t="s">
        <v>338</v>
      </c>
      <c r="G225" s="4">
        <v>14.5</v>
      </c>
      <c r="H225" s="19" t="s">
        <v>389</v>
      </c>
      <c r="I225" s="20" t="s">
        <v>335</v>
      </c>
      <c r="J225" s="21" t="s">
        <v>238</v>
      </c>
      <c r="K225" s="12" t="s">
        <v>14</v>
      </c>
      <c r="L225" s="17">
        <f t="shared" si="24"/>
        <v>14.5</v>
      </c>
      <c r="M225" s="22" t="s">
        <v>629</v>
      </c>
      <c r="N225" s="79">
        <f>IF(K225="NV","",IF(VLOOKUP(M225,'R_Häufigkeit_Faktoren UHR'!$B$4:$I$24,7,FALSE)=0,"",VLOOKUP(M225,'R_Häufigkeit_Faktoren UHR'!$B$4:$I$24,7,FALSE)))</f>
        <v>4.3452380952380958</v>
      </c>
      <c r="O225" s="3">
        <f t="shared" si="25"/>
        <v>63.005952380952387</v>
      </c>
      <c r="P225" s="325"/>
      <c r="Q225" s="156">
        <f>IF(N225="","",VLOOKUP(J225,Raumgruppen_Leistungswerte!$B$5:$F$35,5,FALSE))</f>
        <v>0</v>
      </c>
      <c r="R225" s="157" t="e">
        <f t="shared" si="26"/>
        <v>#DIV/0!</v>
      </c>
      <c r="S225" s="445" t="e">
        <f t="shared" si="27"/>
        <v>#DIV/0!</v>
      </c>
      <c r="T225" s="78" t="str">
        <f>IF(K225="NV","",IF(VLOOKUP(M225,'R_Häufigkeit_Faktoren UHR'!$B$4:$I$24,8,FALSE)=0,"",VLOOKUP(M225,'R_Häufigkeit_Faktoren UHR'!$B$4:$I$24,8,FALSE)))</f>
        <v/>
      </c>
      <c r="U225" s="156" t="str">
        <f t="shared" si="28"/>
        <v/>
      </c>
      <c r="V225" s="427"/>
      <c r="W225" s="12" t="str">
        <f>IF(T225="","",VLOOKUP(J225,Raumgruppen_Leistungswerte!$B$5:$F$35,5,FALSE))</f>
        <v/>
      </c>
      <c r="X225" s="156" t="str">
        <f t="shared" si="29"/>
        <v/>
      </c>
      <c r="Y225" s="446" t="str">
        <f t="shared" si="30"/>
        <v/>
      </c>
      <c r="Z225" s="158">
        <f t="shared" si="31"/>
        <v>63.005952380952387</v>
      </c>
      <c r="AA225" s="23" t="e">
        <f t="shared" si="32"/>
        <v>#DIV/0!</v>
      </c>
      <c r="AB225" s="445" t="e">
        <f t="shared" si="33"/>
        <v>#DIV/0!</v>
      </c>
      <c r="AC225" s="123"/>
    </row>
    <row r="226" spans="1:29" ht="12" customHeight="1">
      <c r="A226" s="11">
        <v>222</v>
      </c>
      <c r="B226" s="12" t="s">
        <v>495</v>
      </c>
      <c r="C226" s="17" t="s">
        <v>368</v>
      </c>
      <c r="D226" s="19" t="s">
        <v>496</v>
      </c>
      <c r="E226" s="17">
        <v>2</v>
      </c>
      <c r="F226" s="18" t="s">
        <v>497</v>
      </c>
      <c r="G226" s="4">
        <v>22.6</v>
      </c>
      <c r="H226" s="19" t="s">
        <v>498</v>
      </c>
      <c r="I226" s="20" t="s">
        <v>383</v>
      </c>
      <c r="J226" s="21" t="s">
        <v>247</v>
      </c>
      <c r="K226" s="12" t="s">
        <v>14</v>
      </c>
      <c r="L226" s="20">
        <f t="shared" si="24"/>
        <v>22.6</v>
      </c>
      <c r="M226" s="22" t="s">
        <v>629</v>
      </c>
      <c r="N226" s="79">
        <f>IF(K226="NV","",IF(VLOOKUP(M226,'R_Häufigkeit_Faktoren UHR'!$B$4:$I$24,7,FALSE)=0,"",VLOOKUP(M226,'R_Häufigkeit_Faktoren UHR'!$B$4:$I$24,7,FALSE)))</f>
        <v>4.3452380952380958</v>
      </c>
      <c r="O226" s="3">
        <f t="shared" si="25"/>
        <v>98.202380952380977</v>
      </c>
      <c r="P226" s="325"/>
      <c r="Q226" s="156">
        <f>IF(N226="","",VLOOKUP(J226,Raumgruppen_Leistungswerte!$B$5:$F$35,5,FALSE))</f>
        <v>0</v>
      </c>
      <c r="R226" s="157" t="e">
        <f t="shared" si="26"/>
        <v>#DIV/0!</v>
      </c>
      <c r="S226" s="445" t="e">
        <f t="shared" si="27"/>
        <v>#DIV/0!</v>
      </c>
      <c r="T226" s="78" t="str">
        <f>IF(K226="NV","",IF(VLOOKUP(M226,'R_Häufigkeit_Faktoren UHR'!$B$4:$I$24,8,FALSE)=0,"",VLOOKUP(M226,'R_Häufigkeit_Faktoren UHR'!$B$4:$I$24,8,FALSE)))</f>
        <v/>
      </c>
      <c r="U226" s="156" t="str">
        <f t="shared" si="28"/>
        <v/>
      </c>
      <c r="V226" s="427"/>
      <c r="W226" s="12" t="str">
        <f>IF(T226="","",VLOOKUP(J226,Raumgruppen_Leistungswerte!$B$5:$F$35,5,FALSE))</f>
        <v/>
      </c>
      <c r="X226" s="156" t="str">
        <f t="shared" si="29"/>
        <v/>
      </c>
      <c r="Y226" s="446" t="str">
        <f t="shared" si="30"/>
        <v/>
      </c>
      <c r="Z226" s="158">
        <f t="shared" si="31"/>
        <v>98.202380952380977</v>
      </c>
      <c r="AA226" s="23" t="e">
        <f t="shared" si="32"/>
        <v>#DIV/0!</v>
      </c>
      <c r="AB226" s="445" t="e">
        <f t="shared" si="33"/>
        <v>#DIV/0!</v>
      </c>
      <c r="AC226" s="123"/>
    </row>
    <row r="227" spans="1:29" ht="12" customHeight="1">
      <c r="A227" s="11">
        <v>223</v>
      </c>
      <c r="B227" s="12" t="s">
        <v>495</v>
      </c>
      <c r="C227" s="17" t="s">
        <v>368</v>
      </c>
      <c r="D227" s="19" t="s">
        <v>496</v>
      </c>
      <c r="E227" s="17">
        <v>2</v>
      </c>
      <c r="F227" s="18" t="s">
        <v>499</v>
      </c>
      <c r="G227" s="4">
        <v>10.5</v>
      </c>
      <c r="H227" s="19" t="s">
        <v>385</v>
      </c>
      <c r="I227" s="20" t="s">
        <v>406</v>
      </c>
      <c r="J227" s="21" t="s">
        <v>1</v>
      </c>
      <c r="K227" s="12" t="s">
        <v>14</v>
      </c>
      <c r="L227" s="17">
        <f t="shared" si="24"/>
        <v>10.5</v>
      </c>
      <c r="M227" s="22">
        <v>5</v>
      </c>
      <c r="N227" s="79">
        <f>IF(K227="NV","",IF(VLOOKUP(M227,'R_Häufigkeit_Faktoren UHR'!$B$4:$I$24,7,FALSE)=0,"",VLOOKUP(M227,'R_Häufigkeit_Faktoren UHR'!$B$4:$I$24,7,FALSE)))</f>
        <v>20.917857142857144</v>
      </c>
      <c r="O227" s="3">
        <f t="shared" si="25"/>
        <v>219.63750000000002</v>
      </c>
      <c r="P227" s="325"/>
      <c r="Q227" s="156">
        <f>IF(N227="","",VLOOKUP(J227,Raumgruppen_Leistungswerte!$B$5:$F$35,5,FALSE))</f>
        <v>0</v>
      </c>
      <c r="R227" s="157" t="e">
        <f t="shared" si="26"/>
        <v>#DIV/0!</v>
      </c>
      <c r="S227" s="445" t="e">
        <f t="shared" si="27"/>
        <v>#DIV/0!</v>
      </c>
      <c r="T227" s="78" t="str">
        <f>IF(K227="NV","",IF(VLOOKUP(M227,'R_Häufigkeit_Faktoren UHR'!$B$4:$I$24,8,FALSE)=0,"",VLOOKUP(M227,'R_Häufigkeit_Faktoren UHR'!$B$4:$I$24,8,FALSE)))</f>
        <v/>
      </c>
      <c r="U227" s="156" t="str">
        <f t="shared" si="28"/>
        <v/>
      </c>
      <c r="V227" s="427"/>
      <c r="W227" s="12" t="str">
        <f>IF(T227="","",VLOOKUP(J227,Raumgruppen_Leistungswerte!$B$5:$F$35,5,FALSE))</f>
        <v/>
      </c>
      <c r="X227" s="156" t="str">
        <f t="shared" si="29"/>
        <v/>
      </c>
      <c r="Y227" s="446" t="str">
        <f t="shared" si="30"/>
        <v/>
      </c>
      <c r="Z227" s="158">
        <f t="shared" si="31"/>
        <v>219.63750000000002</v>
      </c>
      <c r="AA227" s="23" t="e">
        <f t="shared" si="32"/>
        <v>#DIV/0!</v>
      </c>
      <c r="AB227" s="445" t="e">
        <f t="shared" si="33"/>
        <v>#DIV/0!</v>
      </c>
      <c r="AC227" s="123"/>
    </row>
    <row r="228" spans="1:29" ht="12" customHeight="1">
      <c r="A228" s="11">
        <v>224</v>
      </c>
      <c r="B228" s="12" t="s">
        <v>495</v>
      </c>
      <c r="C228" s="17" t="s">
        <v>368</v>
      </c>
      <c r="D228" s="19" t="s">
        <v>496</v>
      </c>
      <c r="E228" s="17">
        <v>2</v>
      </c>
      <c r="F228" s="18" t="s">
        <v>500</v>
      </c>
      <c r="G228" s="4">
        <v>10.3</v>
      </c>
      <c r="H228" s="19" t="s">
        <v>387</v>
      </c>
      <c r="I228" s="14" t="s">
        <v>406</v>
      </c>
      <c r="J228" s="21" t="s">
        <v>1</v>
      </c>
      <c r="K228" s="12" t="s">
        <v>14</v>
      </c>
      <c r="L228" s="17">
        <f t="shared" si="24"/>
        <v>10.3</v>
      </c>
      <c r="M228" s="22">
        <v>5</v>
      </c>
      <c r="N228" s="79">
        <f>IF(K228="NV","",IF(VLOOKUP(M228,'R_Häufigkeit_Faktoren UHR'!$B$4:$I$24,7,FALSE)=0,"",VLOOKUP(M228,'R_Häufigkeit_Faktoren UHR'!$B$4:$I$24,7,FALSE)))</f>
        <v>20.917857142857144</v>
      </c>
      <c r="O228" s="3">
        <f t="shared" si="25"/>
        <v>215.45392857142861</v>
      </c>
      <c r="P228" s="325"/>
      <c r="Q228" s="156">
        <f>IF(N228="","",VLOOKUP(J228,Raumgruppen_Leistungswerte!$B$5:$F$35,5,FALSE))</f>
        <v>0</v>
      </c>
      <c r="R228" s="157" t="e">
        <f t="shared" si="26"/>
        <v>#DIV/0!</v>
      </c>
      <c r="S228" s="445" t="e">
        <f t="shared" si="27"/>
        <v>#DIV/0!</v>
      </c>
      <c r="T228" s="78" t="str">
        <f>IF(K228="NV","",IF(VLOOKUP(M228,'R_Häufigkeit_Faktoren UHR'!$B$4:$I$24,8,FALSE)=0,"",VLOOKUP(M228,'R_Häufigkeit_Faktoren UHR'!$B$4:$I$24,8,FALSE)))</f>
        <v/>
      </c>
      <c r="U228" s="156" t="str">
        <f t="shared" si="28"/>
        <v/>
      </c>
      <c r="V228" s="427"/>
      <c r="W228" s="12" t="str">
        <f>IF(T228="","",VLOOKUP(J228,Raumgruppen_Leistungswerte!$B$5:$F$35,5,FALSE))</f>
        <v/>
      </c>
      <c r="X228" s="156" t="str">
        <f t="shared" si="29"/>
        <v/>
      </c>
      <c r="Y228" s="446" t="str">
        <f t="shared" si="30"/>
        <v/>
      </c>
      <c r="Z228" s="158">
        <f t="shared" si="31"/>
        <v>215.45392857142861</v>
      </c>
      <c r="AA228" s="23" t="e">
        <f t="shared" si="32"/>
        <v>#DIV/0!</v>
      </c>
      <c r="AB228" s="445" t="e">
        <f t="shared" si="33"/>
        <v>#DIV/0!</v>
      </c>
      <c r="AC228" s="123"/>
    </row>
    <row r="229" spans="1:29" ht="12" customHeight="1">
      <c r="A229" s="11">
        <v>225</v>
      </c>
      <c r="B229" s="12" t="s">
        <v>495</v>
      </c>
      <c r="C229" s="17" t="s">
        <v>368</v>
      </c>
      <c r="D229" s="19" t="s">
        <v>496</v>
      </c>
      <c r="E229" s="17">
        <v>2</v>
      </c>
      <c r="F229" s="18" t="s">
        <v>501</v>
      </c>
      <c r="G229" s="4">
        <v>13.9</v>
      </c>
      <c r="H229" s="19" t="s">
        <v>408</v>
      </c>
      <c r="I229" s="14" t="s">
        <v>406</v>
      </c>
      <c r="J229" s="21" t="s">
        <v>251</v>
      </c>
      <c r="K229" s="12" t="s">
        <v>14</v>
      </c>
      <c r="L229" s="4">
        <f t="shared" si="24"/>
        <v>13.9</v>
      </c>
      <c r="M229" s="22">
        <v>1</v>
      </c>
      <c r="N229" s="79">
        <f>IF(K229="NV","",IF(VLOOKUP(M229,'R_Häufigkeit_Faktoren UHR'!$B$4:$I$24,7,FALSE)=0,"",VLOOKUP(M229,'R_Häufigkeit_Faktoren UHR'!$B$4:$I$24,7,FALSE)))</f>
        <v>4.3452380952380958</v>
      </c>
      <c r="O229" s="3">
        <f t="shared" si="25"/>
        <v>60.398809523809533</v>
      </c>
      <c r="P229" s="325"/>
      <c r="Q229" s="156">
        <f>IF(N229="","",VLOOKUP(J229,Raumgruppen_Leistungswerte!$B$5:$F$35,5,FALSE))</f>
        <v>0</v>
      </c>
      <c r="R229" s="157" t="e">
        <f t="shared" si="26"/>
        <v>#DIV/0!</v>
      </c>
      <c r="S229" s="445" t="e">
        <f t="shared" si="27"/>
        <v>#DIV/0!</v>
      </c>
      <c r="T229" s="78" t="str">
        <f>IF(K229="NV","",IF(VLOOKUP(M229,'R_Häufigkeit_Faktoren UHR'!$B$4:$I$24,8,FALSE)=0,"",VLOOKUP(M229,'R_Häufigkeit_Faktoren UHR'!$B$4:$I$24,8,FALSE)))</f>
        <v/>
      </c>
      <c r="U229" s="156" t="str">
        <f t="shared" si="28"/>
        <v/>
      </c>
      <c r="V229" s="427"/>
      <c r="W229" s="12" t="str">
        <f>IF(T229="","",VLOOKUP(J229,Raumgruppen_Leistungswerte!$B$5:$F$35,5,FALSE))</f>
        <v/>
      </c>
      <c r="X229" s="156" t="str">
        <f t="shared" si="29"/>
        <v/>
      </c>
      <c r="Y229" s="446" t="str">
        <f t="shared" si="30"/>
        <v/>
      </c>
      <c r="Z229" s="158">
        <f t="shared" si="31"/>
        <v>60.398809523809533</v>
      </c>
      <c r="AA229" s="23" t="e">
        <f t="shared" si="32"/>
        <v>#DIV/0!</v>
      </c>
      <c r="AB229" s="445" t="e">
        <f t="shared" si="33"/>
        <v>#DIV/0!</v>
      </c>
      <c r="AC229" s="123"/>
    </row>
    <row r="230" spans="1:29" ht="12" customHeight="1">
      <c r="A230" s="11">
        <v>226</v>
      </c>
      <c r="B230" s="12" t="s">
        <v>495</v>
      </c>
      <c r="C230" s="17" t="s">
        <v>368</v>
      </c>
      <c r="D230" s="19" t="s">
        <v>496</v>
      </c>
      <c r="E230" s="17">
        <v>2</v>
      </c>
      <c r="F230" s="18" t="s">
        <v>502</v>
      </c>
      <c r="G230" s="4">
        <v>13.6</v>
      </c>
      <c r="H230" s="19" t="s">
        <v>503</v>
      </c>
      <c r="I230" s="14" t="s">
        <v>406</v>
      </c>
      <c r="J230" s="21" t="s">
        <v>2</v>
      </c>
      <c r="K230" s="12" t="s">
        <v>14</v>
      </c>
      <c r="L230" s="20">
        <f t="shared" si="24"/>
        <v>13.6</v>
      </c>
      <c r="M230" s="22">
        <v>5</v>
      </c>
      <c r="N230" s="79">
        <f>IF(K230="NV","",IF(VLOOKUP(M230,'R_Häufigkeit_Faktoren UHR'!$B$4:$I$24,7,FALSE)=0,"",VLOOKUP(M230,'R_Häufigkeit_Faktoren UHR'!$B$4:$I$24,7,FALSE)))</f>
        <v>20.917857142857144</v>
      </c>
      <c r="O230" s="3">
        <f t="shared" si="25"/>
        <v>284.48285714285714</v>
      </c>
      <c r="P230" s="325"/>
      <c r="Q230" s="156">
        <f>IF(N230="","",VLOOKUP(J230,Raumgruppen_Leistungswerte!$B$5:$F$35,5,FALSE))</f>
        <v>0</v>
      </c>
      <c r="R230" s="157" t="e">
        <f t="shared" si="26"/>
        <v>#DIV/0!</v>
      </c>
      <c r="S230" s="445" t="e">
        <f t="shared" si="27"/>
        <v>#DIV/0!</v>
      </c>
      <c r="T230" s="78" t="str">
        <f>IF(K230="NV","",IF(VLOOKUP(M230,'R_Häufigkeit_Faktoren UHR'!$B$4:$I$24,8,FALSE)=0,"",VLOOKUP(M230,'R_Häufigkeit_Faktoren UHR'!$B$4:$I$24,8,FALSE)))</f>
        <v/>
      </c>
      <c r="U230" s="156" t="str">
        <f t="shared" si="28"/>
        <v/>
      </c>
      <c r="V230" s="427"/>
      <c r="W230" s="12" t="str">
        <f>IF(T230="","",VLOOKUP(J230,Raumgruppen_Leistungswerte!$B$5:$F$35,5,FALSE))</f>
        <v/>
      </c>
      <c r="X230" s="156" t="str">
        <f t="shared" si="29"/>
        <v/>
      </c>
      <c r="Y230" s="446" t="str">
        <f t="shared" si="30"/>
        <v/>
      </c>
      <c r="Z230" s="158">
        <f t="shared" si="31"/>
        <v>284.48285714285714</v>
      </c>
      <c r="AA230" s="23" t="e">
        <f t="shared" si="32"/>
        <v>#DIV/0!</v>
      </c>
      <c r="AB230" s="445" t="e">
        <f t="shared" si="33"/>
        <v>#DIV/0!</v>
      </c>
      <c r="AC230" s="123"/>
    </row>
    <row r="231" spans="1:29" ht="12" customHeight="1">
      <c r="A231" s="11">
        <v>227</v>
      </c>
      <c r="B231" s="12" t="s">
        <v>495</v>
      </c>
      <c r="C231" s="17" t="s">
        <v>368</v>
      </c>
      <c r="D231" s="19" t="s">
        <v>496</v>
      </c>
      <c r="E231" s="17">
        <v>2</v>
      </c>
      <c r="F231" s="18" t="s">
        <v>504</v>
      </c>
      <c r="G231" s="4">
        <v>12.6</v>
      </c>
      <c r="H231" s="19" t="s">
        <v>503</v>
      </c>
      <c r="I231" s="14" t="s">
        <v>406</v>
      </c>
      <c r="J231" s="21" t="s">
        <v>2</v>
      </c>
      <c r="K231" s="12" t="s">
        <v>14</v>
      </c>
      <c r="L231" s="20">
        <f t="shared" si="24"/>
        <v>12.6</v>
      </c>
      <c r="M231" s="22">
        <v>5</v>
      </c>
      <c r="N231" s="79">
        <f>IF(K231="NV","",IF(VLOOKUP(M231,'R_Häufigkeit_Faktoren UHR'!$B$4:$I$24,7,FALSE)=0,"",VLOOKUP(M231,'R_Häufigkeit_Faktoren UHR'!$B$4:$I$24,7,FALSE)))</f>
        <v>20.917857142857144</v>
      </c>
      <c r="O231" s="3">
        <f t="shared" si="25"/>
        <v>263.565</v>
      </c>
      <c r="P231" s="325"/>
      <c r="Q231" s="156">
        <f>IF(N231="","",VLOOKUP(J231,Raumgruppen_Leistungswerte!$B$5:$F$35,5,FALSE))</f>
        <v>0</v>
      </c>
      <c r="R231" s="157" t="e">
        <f t="shared" si="26"/>
        <v>#DIV/0!</v>
      </c>
      <c r="S231" s="445" t="e">
        <f t="shared" si="27"/>
        <v>#DIV/0!</v>
      </c>
      <c r="T231" s="78" t="str">
        <f>IF(K231="NV","",IF(VLOOKUP(M231,'R_Häufigkeit_Faktoren UHR'!$B$4:$I$24,8,FALSE)=0,"",VLOOKUP(M231,'R_Häufigkeit_Faktoren UHR'!$B$4:$I$24,8,FALSE)))</f>
        <v/>
      </c>
      <c r="U231" s="156" t="str">
        <f t="shared" si="28"/>
        <v/>
      </c>
      <c r="V231" s="427"/>
      <c r="W231" s="12" t="str">
        <f>IF(T231="","",VLOOKUP(J231,Raumgruppen_Leistungswerte!$B$5:$F$35,5,FALSE))</f>
        <v/>
      </c>
      <c r="X231" s="156" t="str">
        <f t="shared" si="29"/>
        <v/>
      </c>
      <c r="Y231" s="446" t="str">
        <f t="shared" si="30"/>
        <v/>
      </c>
      <c r="Z231" s="158">
        <f t="shared" si="31"/>
        <v>263.565</v>
      </c>
      <c r="AA231" s="23" t="e">
        <f t="shared" si="32"/>
        <v>#DIV/0!</v>
      </c>
      <c r="AB231" s="445" t="e">
        <f t="shared" si="33"/>
        <v>#DIV/0!</v>
      </c>
      <c r="AC231" s="123"/>
    </row>
    <row r="232" spans="1:29" ht="12" customHeight="1">
      <c r="A232" s="11">
        <v>228</v>
      </c>
      <c r="B232" s="12" t="s">
        <v>495</v>
      </c>
      <c r="C232" s="17" t="s">
        <v>368</v>
      </c>
      <c r="D232" s="19" t="s">
        <v>496</v>
      </c>
      <c r="E232" s="17">
        <v>2</v>
      </c>
      <c r="F232" s="18" t="s">
        <v>505</v>
      </c>
      <c r="G232" s="4">
        <v>69.599999999999994</v>
      </c>
      <c r="H232" s="19" t="s">
        <v>506</v>
      </c>
      <c r="I232" s="20" t="s">
        <v>383</v>
      </c>
      <c r="J232" s="21" t="s">
        <v>219</v>
      </c>
      <c r="K232" s="12" t="s">
        <v>14</v>
      </c>
      <c r="L232" s="17">
        <f t="shared" si="24"/>
        <v>69.599999999999994</v>
      </c>
      <c r="M232" s="22">
        <v>5</v>
      </c>
      <c r="N232" s="79">
        <f>IF(K232="NV","",IF(VLOOKUP(M232,'R_Häufigkeit_Faktoren UHR'!$B$4:$I$24,7,FALSE)=0,"",VLOOKUP(M232,'R_Häufigkeit_Faktoren UHR'!$B$4:$I$24,7,FALSE)))</f>
        <v>20.917857142857144</v>
      </c>
      <c r="O232" s="3">
        <f t="shared" si="25"/>
        <v>1455.8828571428571</v>
      </c>
      <c r="P232" s="325"/>
      <c r="Q232" s="156">
        <f>IF(N232="","",VLOOKUP(J232,Raumgruppen_Leistungswerte!$B$5:$F$35,5,FALSE))</f>
        <v>0</v>
      </c>
      <c r="R232" s="157" t="e">
        <f t="shared" si="26"/>
        <v>#DIV/0!</v>
      </c>
      <c r="S232" s="445" t="e">
        <f t="shared" si="27"/>
        <v>#DIV/0!</v>
      </c>
      <c r="T232" s="78" t="str">
        <f>IF(K232="NV","",IF(VLOOKUP(M232,'R_Häufigkeit_Faktoren UHR'!$B$4:$I$24,8,FALSE)=0,"",VLOOKUP(M232,'R_Häufigkeit_Faktoren UHR'!$B$4:$I$24,8,FALSE)))</f>
        <v/>
      </c>
      <c r="U232" s="156" t="str">
        <f t="shared" si="28"/>
        <v/>
      </c>
      <c r="V232" s="427"/>
      <c r="W232" s="12" t="str">
        <f>IF(T232="","",VLOOKUP(J232,Raumgruppen_Leistungswerte!$B$5:$F$35,5,FALSE))</f>
        <v/>
      </c>
      <c r="X232" s="156" t="str">
        <f t="shared" si="29"/>
        <v/>
      </c>
      <c r="Y232" s="446" t="str">
        <f t="shared" si="30"/>
        <v/>
      </c>
      <c r="Z232" s="158">
        <f t="shared" si="31"/>
        <v>1455.8828571428571</v>
      </c>
      <c r="AA232" s="23" t="e">
        <f t="shared" si="32"/>
        <v>#DIV/0!</v>
      </c>
      <c r="AB232" s="445" t="e">
        <f t="shared" si="33"/>
        <v>#DIV/0!</v>
      </c>
      <c r="AC232" s="123"/>
    </row>
    <row r="233" spans="1:29" ht="12" customHeight="1">
      <c r="A233" s="11">
        <v>229</v>
      </c>
      <c r="B233" s="12" t="s">
        <v>495</v>
      </c>
      <c r="C233" s="17" t="s">
        <v>368</v>
      </c>
      <c r="D233" s="19" t="s">
        <v>496</v>
      </c>
      <c r="E233" s="17">
        <v>2</v>
      </c>
      <c r="F233" s="18" t="s">
        <v>507</v>
      </c>
      <c r="G233" s="4">
        <v>4.0999999999999996</v>
      </c>
      <c r="H233" s="19" t="s">
        <v>494</v>
      </c>
      <c r="I233" s="20" t="s">
        <v>383</v>
      </c>
      <c r="J233" s="21" t="s">
        <v>251</v>
      </c>
      <c r="K233" s="12" t="s">
        <v>14</v>
      </c>
      <c r="L233" s="4">
        <f t="shared" si="24"/>
        <v>4.0999999999999996</v>
      </c>
      <c r="M233" s="22">
        <v>1</v>
      </c>
      <c r="N233" s="79">
        <f>IF(K233="NV","",IF(VLOOKUP(M233,'R_Häufigkeit_Faktoren UHR'!$B$4:$I$24,7,FALSE)=0,"",VLOOKUP(M233,'R_Häufigkeit_Faktoren UHR'!$B$4:$I$24,7,FALSE)))</f>
        <v>4.3452380952380958</v>
      </c>
      <c r="O233" s="3">
        <f t="shared" si="25"/>
        <v>17.81547619047619</v>
      </c>
      <c r="P233" s="325"/>
      <c r="Q233" s="156">
        <f>IF(N233="","",VLOOKUP(J233,Raumgruppen_Leistungswerte!$B$5:$F$35,5,FALSE))</f>
        <v>0</v>
      </c>
      <c r="R233" s="157" t="e">
        <f t="shared" si="26"/>
        <v>#DIV/0!</v>
      </c>
      <c r="S233" s="445" t="e">
        <f t="shared" si="27"/>
        <v>#DIV/0!</v>
      </c>
      <c r="T233" s="78" t="str">
        <f>IF(K233="NV","",IF(VLOOKUP(M233,'R_Häufigkeit_Faktoren UHR'!$B$4:$I$24,8,FALSE)=0,"",VLOOKUP(M233,'R_Häufigkeit_Faktoren UHR'!$B$4:$I$24,8,FALSE)))</f>
        <v/>
      </c>
      <c r="U233" s="156" t="str">
        <f t="shared" si="28"/>
        <v/>
      </c>
      <c r="V233" s="427"/>
      <c r="W233" s="12" t="str">
        <f>IF(T233="","",VLOOKUP(J233,Raumgruppen_Leistungswerte!$B$5:$F$35,5,FALSE))</f>
        <v/>
      </c>
      <c r="X233" s="156" t="str">
        <f t="shared" si="29"/>
        <v/>
      </c>
      <c r="Y233" s="446" t="str">
        <f t="shared" si="30"/>
        <v/>
      </c>
      <c r="Z233" s="158">
        <f t="shared" si="31"/>
        <v>17.81547619047619</v>
      </c>
      <c r="AA233" s="23" t="e">
        <f t="shared" si="32"/>
        <v>#DIV/0!</v>
      </c>
      <c r="AB233" s="445" t="e">
        <f t="shared" si="33"/>
        <v>#DIV/0!</v>
      </c>
      <c r="AC233" s="123"/>
    </row>
    <row r="234" spans="1:29" ht="12" customHeight="1">
      <c r="A234" s="11">
        <v>230</v>
      </c>
      <c r="B234" s="12" t="s">
        <v>495</v>
      </c>
      <c r="C234" s="17" t="s">
        <v>368</v>
      </c>
      <c r="D234" s="19" t="s">
        <v>496</v>
      </c>
      <c r="E234" s="17">
        <v>2</v>
      </c>
      <c r="F234" s="18" t="s">
        <v>420</v>
      </c>
      <c r="G234" s="4">
        <v>63.9</v>
      </c>
      <c r="H234" s="19" t="s">
        <v>320</v>
      </c>
      <c r="I234" s="20" t="s">
        <v>383</v>
      </c>
      <c r="J234" s="15" t="s">
        <v>238</v>
      </c>
      <c r="K234" s="12" t="s">
        <v>14</v>
      </c>
      <c r="L234" s="17">
        <f t="shared" si="24"/>
        <v>63.9</v>
      </c>
      <c r="M234" s="22">
        <v>5</v>
      </c>
      <c r="N234" s="79">
        <f>IF(K234="NV","",IF(VLOOKUP(M234,'R_Häufigkeit_Faktoren UHR'!$B$4:$I$24,7,FALSE)=0,"",VLOOKUP(M234,'R_Häufigkeit_Faktoren UHR'!$B$4:$I$24,7,FALSE)))</f>
        <v>20.917857142857144</v>
      </c>
      <c r="O234" s="3">
        <f t="shared" si="25"/>
        <v>1336.6510714285714</v>
      </c>
      <c r="P234" s="325"/>
      <c r="Q234" s="156">
        <f>IF(N234="","",VLOOKUP(J234,Raumgruppen_Leistungswerte!$B$5:$F$35,5,FALSE))</f>
        <v>0</v>
      </c>
      <c r="R234" s="157" t="e">
        <f t="shared" si="26"/>
        <v>#DIV/0!</v>
      </c>
      <c r="S234" s="445" t="e">
        <f t="shared" si="27"/>
        <v>#DIV/0!</v>
      </c>
      <c r="T234" s="78" t="str">
        <f>IF(K234="NV","",IF(VLOOKUP(M234,'R_Häufigkeit_Faktoren UHR'!$B$4:$I$24,8,FALSE)=0,"",VLOOKUP(M234,'R_Häufigkeit_Faktoren UHR'!$B$4:$I$24,8,FALSE)))</f>
        <v/>
      </c>
      <c r="U234" s="156" t="str">
        <f t="shared" si="28"/>
        <v/>
      </c>
      <c r="V234" s="427"/>
      <c r="W234" s="12" t="str">
        <f>IF(T234="","",VLOOKUP(J234,Raumgruppen_Leistungswerte!$B$5:$F$35,5,FALSE))</f>
        <v/>
      </c>
      <c r="X234" s="156" t="str">
        <f t="shared" si="29"/>
        <v/>
      </c>
      <c r="Y234" s="446" t="str">
        <f t="shared" si="30"/>
        <v/>
      </c>
      <c r="Z234" s="158">
        <f t="shared" si="31"/>
        <v>1336.6510714285714</v>
      </c>
      <c r="AA234" s="23" t="e">
        <f t="shared" si="32"/>
        <v>#DIV/0!</v>
      </c>
      <c r="AB234" s="445" t="e">
        <f t="shared" si="33"/>
        <v>#DIV/0!</v>
      </c>
      <c r="AC234" s="123"/>
    </row>
    <row r="235" spans="1:29" ht="12" customHeight="1">
      <c r="A235" s="11">
        <v>231</v>
      </c>
      <c r="B235" s="12" t="s">
        <v>495</v>
      </c>
      <c r="C235" s="17" t="s">
        <v>368</v>
      </c>
      <c r="D235" s="19" t="s">
        <v>496</v>
      </c>
      <c r="E235" s="17">
        <v>2</v>
      </c>
      <c r="F235" s="18" t="s">
        <v>508</v>
      </c>
      <c r="G235" s="319">
        <v>1.4</v>
      </c>
      <c r="H235" s="19" t="s">
        <v>381</v>
      </c>
      <c r="I235" s="14" t="s">
        <v>383</v>
      </c>
      <c r="J235" s="21" t="s">
        <v>245</v>
      </c>
      <c r="K235" s="12" t="s">
        <v>14</v>
      </c>
      <c r="L235" s="334">
        <f t="shared" si="14"/>
        <v>1.4</v>
      </c>
      <c r="M235" s="315">
        <v>5</v>
      </c>
      <c r="N235" s="78">
        <f>IF(K235="NV","",IF(VLOOKUP(M235,'R_Häufigkeit_Faktoren UHR'!$B$4:$I$24,7,FALSE)=0,"",VLOOKUP(M235,'R_Häufigkeit_Faktoren UHR'!$B$4:$I$24,7,FALSE)))</f>
        <v>20.917857142857144</v>
      </c>
      <c r="O235" s="3">
        <f t="shared" si="18"/>
        <v>29.285</v>
      </c>
      <c r="P235" s="325"/>
      <c r="Q235" s="156">
        <f>IF(N235="","",VLOOKUP(J235,Raumgruppen_Leistungswerte!$B$5:$F$35,5,FALSE))</f>
        <v>0</v>
      </c>
      <c r="R235" s="157" t="e">
        <f t="shared" si="19"/>
        <v>#DIV/0!</v>
      </c>
      <c r="S235" s="445" t="e">
        <f t="shared" si="20"/>
        <v>#DIV/0!</v>
      </c>
      <c r="T235" s="78" t="str">
        <f>IF(K235="NV","",IF(VLOOKUP(M235,'R_Häufigkeit_Faktoren UHR'!$B$4:$I$24,8,FALSE)=0,"",VLOOKUP(M235,'R_Häufigkeit_Faktoren UHR'!$B$4:$I$24,8,FALSE)))</f>
        <v/>
      </c>
      <c r="U235" s="156" t="str">
        <f t="shared" si="21"/>
        <v/>
      </c>
      <c r="V235" s="427"/>
      <c r="W235" s="12" t="str">
        <f>IF(T235="","",VLOOKUP(J235,Raumgruppen_Leistungswerte!$B$5:$F$35,5,FALSE))</f>
        <v/>
      </c>
      <c r="X235" s="156" t="str">
        <f t="shared" si="22"/>
        <v/>
      </c>
      <c r="Y235" s="446" t="str">
        <f t="shared" si="23"/>
        <v/>
      </c>
      <c r="Z235" s="158">
        <f t="shared" si="15"/>
        <v>29.285</v>
      </c>
      <c r="AA235" s="23" t="e">
        <f t="shared" si="16"/>
        <v>#DIV/0!</v>
      </c>
      <c r="AB235" s="445" t="e">
        <f t="shared" si="17"/>
        <v>#DIV/0!</v>
      </c>
      <c r="AC235" s="123"/>
    </row>
    <row r="236" spans="1:29" ht="12" customHeight="1">
      <c r="A236" s="11">
        <v>232</v>
      </c>
      <c r="B236" s="12" t="s">
        <v>495</v>
      </c>
      <c r="C236" s="17" t="s">
        <v>368</v>
      </c>
      <c r="D236" s="19" t="s">
        <v>369</v>
      </c>
      <c r="E236" s="17">
        <v>2</v>
      </c>
      <c r="F236" s="18" t="s">
        <v>509</v>
      </c>
      <c r="G236" s="319">
        <v>60.9</v>
      </c>
      <c r="H236" s="19" t="s">
        <v>510</v>
      </c>
      <c r="I236" s="20" t="s">
        <v>383</v>
      </c>
      <c r="J236" s="21" t="s">
        <v>122</v>
      </c>
      <c r="K236" s="12" t="s">
        <v>14</v>
      </c>
      <c r="L236" s="319">
        <f t="shared" si="14"/>
        <v>60.9</v>
      </c>
      <c r="M236" s="315">
        <v>1</v>
      </c>
      <c r="N236" s="78">
        <f>IF(K236="NV","",IF(VLOOKUP(M236,'R_Häufigkeit_Faktoren UHR'!$B$4:$I$24,7,FALSE)=0,"",VLOOKUP(M236,'R_Häufigkeit_Faktoren UHR'!$B$4:$I$24,7,FALSE)))</f>
        <v>4.3452380952380958</v>
      </c>
      <c r="O236" s="3">
        <f t="shared" si="18"/>
        <v>264.625</v>
      </c>
      <c r="P236" s="325"/>
      <c r="Q236" s="156">
        <f>IF(N236="","",VLOOKUP(J236,Raumgruppen_Leistungswerte!$B$5:$F$35,5,FALSE))</f>
        <v>0</v>
      </c>
      <c r="R236" s="157" t="e">
        <f t="shared" si="19"/>
        <v>#DIV/0!</v>
      </c>
      <c r="S236" s="445" t="e">
        <f t="shared" si="20"/>
        <v>#DIV/0!</v>
      </c>
      <c r="T236" s="78" t="str">
        <f>IF(K236="NV","",IF(VLOOKUP(M236,'R_Häufigkeit_Faktoren UHR'!$B$4:$I$24,8,FALSE)=0,"",VLOOKUP(M236,'R_Häufigkeit_Faktoren UHR'!$B$4:$I$24,8,FALSE)))</f>
        <v/>
      </c>
      <c r="U236" s="156" t="str">
        <f t="shared" si="21"/>
        <v/>
      </c>
      <c r="V236" s="427"/>
      <c r="W236" s="12" t="str">
        <f>IF(T236="","",VLOOKUP(J236,Raumgruppen_Leistungswerte!$B$5:$F$35,5,FALSE))</f>
        <v/>
      </c>
      <c r="X236" s="156" t="str">
        <f t="shared" si="22"/>
        <v/>
      </c>
      <c r="Y236" s="446" t="str">
        <f t="shared" si="23"/>
        <v/>
      </c>
      <c r="Z236" s="158">
        <f t="shared" si="15"/>
        <v>264.625</v>
      </c>
      <c r="AA236" s="23" t="e">
        <f t="shared" si="16"/>
        <v>#DIV/0!</v>
      </c>
      <c r="AB236" s="445" t="e">
        <f t="shared" si="17"/>
        <v>#DIV/0!</v>
      </c>
      <c r="AC236" s="123"/>
    </row>
    <row r="237" spans="1:29" ht="12" customHeight="1">
      <c r="A237" s="11">
        <v>233</v>
      </c>
      <c r="B237" s="12" t="s">
        <v>495</v>
      </c>
      <c r="C237" s="17" t="s">
        <v>368</v>
      </c>
      <c r="D237" s="19" t="s">
        <v>496</v>
      </c>
      <c r="E237" s="17">
        <v>3</v>
      </c>
      <c r="F237" s="18" t="s">
        <v>426</v>
      </c>
      <c r="G237" s="319">
        <v>100.4</v>
      </c>
      <c r="H237" s="19" t="s">
        <v>320</v>
      </c>
      <c r="I237" s="14" t="s">
        <v>383</v>
      </c>
      <c r="J237" s="21" t="s">
        <v>238</v>
      </c>
      <c r="K237" s="12" t="s">
        <v>14</v>
      </c>
      <c r="L237" s="319">
        <f t="shared" si="14"/>
        <v>100.4</v>
      </c>
      <c r="M237" s="315">
        <v>5</v>
      </c>
      <c r="N237" s="78">
        <f>IF(K237="NV","",IF(VLOOKUP(M237,'R_Häufigkeit_Faktoren UHR'!$B$4:$I$24,7,FALSE)=0,"",VLOOKUP(M237,'R_Häufigkeit_Faktoren UHR'!$B$4:$I$24,7,FALSE)))</f>
        <v>20.917857142857144</v>
      </c>
      <c r="O237" s="3">
        <f t="shared" si="18"/>
        <v>2100.1528571428576</v>
      </c>
      <c r="P237" s="325"/>
      <c r="Q237" s="156">
        <f>IF(N237="","",VLOOKUP(J237,Raumgruppen_Leistungswerte!$B$5:$F$35,5,FALSE))</f>
        <v>0</v>
      </c>
      <c r="R237" s="157" t="e">
        <f t="shared" si="19"/>
        <v>#DIV/0!</v>
      </c>
      <c r="S237" s="445" t="e">
        <f t="shared" si="20"/>
        <v>#DIV/0!</v>
      </c>
      <c r="T237" s="78" t="str">
        <f>IF(K237="NV","",IF(VLOOKUP(M237,'R_Häufigkeit_Faktoren UHR'!$B$4:$I$24,8,FALSE)=0,"",VLOOKUP(M237,'R_Häufigkeit_Faktoren UHR'!$B$4:$I$24,8,FALSE)))</f>
        <v/>
      </c>
      <c r="U237" s="156" t="str">
        <f t="shared" si="21"/>
        <v/>
      </c>
      <c r="V237" s="427"/>
      <c r="W237" s="12" t="str">
        <f>IF(T237="","",VLOOKUP(J237,Raumgruppen_Leistungswerte!$B$5:$F$35,5,FALSE))</f>
        <v/>
      </c>
      <c r="X237" s="156" t="str">
        <f t="shared" si="22"/>
        <v/>
      </c>
      <c r="Y237" s="446" t="str">
        <f t="shared" si="23"/>
        <v/>
      </c>
      <c r="Z237" s="158">
        <f t="shared" si="15"/>
        <v>2100.1528571428576</v>
      </c>
      <c r="AA237" s="23" t="e">
        <f t="shared" si="16"/>
        <v>#DIV/0!</v>
      </c>
      <c r="AB237" s="445" t="e">
        <f t="shared" si="17"/>
        <v>#DIV/0!</v>
      </c>
      <c r="AC237" s="123"/>
    </row>
    <row r="238" spans="1:29" ht="12" customHeight="1">
      <c r="A238" s="11">
        <v>234</v>
      </c>
      <c r="B238" s="12" t="s">
        <v>495</v>
      </c>
      <c r="C238" s="17" t="s">
        <v>368</v>
      </c>
      <c r="D238" s="19" t="s">
        <v>272</v>
      </c>
      <c r="E238" s="17">
        <v>3</v>
      </c>
      <c r="F238" s="18" t="s">
        <v>511</v>
      </c>
      <c r="G238" s="319">
        <v>38.799999999999997</v>
      </c>
      <c r="H238" s="19" t="s">
        <v>365</v>
      </c>
      <c r="I238" s="20" t="s">
        <v>335</v>
      </c>
      <c r="J238" s="21" t="s">
        <v>240</v>
      </c>
      <c r="K238" s="12" t="s">
        <v>14</v>
      </c>
      <c r="L238" s="319">
        <f t="shared" si="14"/>
        <v>38.799999999999997</v>
      </c>
      <c r="M238" s="315">
        <v>3</v>
      </c>
      <c r="N238" s="79">
        <f>IF(K238="NV","",IF(VLOOKUP(M238,'R_Häufigkeit_Faktoren UHR'!$B$4:$I$24,7,FALSE)=0,"",VLOOKUP(M238,'R_Häufigkeit_Faktoren UHR'!$B$4:$I$24,7,FALSE)))</f>
        <v>13.035714285714286</v>
      </c>
      <c r="O238" s="3">
        <f t="shared" si="18"/>
        <v>505.78571428571428</v>
      </c>
      <c r="P238" s="325"/>
      <c r="Q238" s="156">
        <f>IF(N238="","",VLOOKUP(J238,Raumgruppen_Leistungswerte!$B$5:$F$35,5,FALSE))</f>
        <v>0</v>
      </c>
      <c r="R238" s="157" t="e">
        <f t="shared" si="19"/>
        <v>#DIV/0!</v>
      </c>
      <c r="S238" s="445" t="e">
        <f t="shared" si="20"/>
        <v>#DIV/0!</v>
      </c>
      <c r="T238" s="78" t="str">
        <f>IF(K238="NV","",IF(VLOOKUP(M238,'R_Häufigkeit_Faktoren UHR'!$B$4:$I$24,8,FALSE)=0,"",VLOOKUP(M238,'R_Häufigkeit_Faktoren UHR'!$B$4:$I$24,8,FALSE)))</f>
        <v/>
      </c>
      <c r="U238" s="156" t="str">
        <f t="shared" si="21"/>
        <v/>
      </c>
      <c r="V238" s="427"/>
      <c r="W238" s="12" t="str">
        <f>IF(T238="","",VLOOKUP(J238,Raumgruppen_Leistungswerte!$B$5:$F$35,5,FALSE))</f>
        <v/>
      </c>
      <c r="X238" s="156" t="str">
        <f t="shared" si="22"/>
        <v/>
      </c>
      <c r="Y238" s="446" t="str">
        <f t="shared" si="23"/>
        <v/>
      </c>
      <c r="Z238" s="158">
        <f t="shared" si="15"/>
        <v>505.78571428571428</v>
      </c>
      <c r="AA238" s="23" t="e">
        <f t="shared" si="16"/>
        <v>#DIV/0!</v>
      </c>
      <c r="AB238" s="445" t="e">
        <f t="shared" si="17"/>
        <v>#DIV/0!</v>
      </c>
      <c r="AC238" s="123"/>
    </row>
    <row r="239" spans="1:29" ht="12" customHeight="1">
      <c r="A239" s="11">
        <v>235</v>
      </c>
      <c r="B239" s="12" t="s">
        <v>495</v>
      </c>
      <c r="C239" s="17" t="s">
        <v>368</v>
      </c>
      <c r="D239" s="19" t="s">
        <v>496</v>
      </c>
      <c r="E239" s="17">
        <v>3</v>
      </c>
      <c r="F239" s="18" t="s">
        <v>512</v>
      </c>
      <c r="G239" s="319">
        <v>61</v>
      </c>
      <c r="H239" s="19" t="s">
        <v>513</v>
      </c>
      <c r="I239" s="20" t="s">
        <v>383</v>
      </c>
      <c r="J239" s="21" t="s">
        <v>219</v>
      </c>
      <c r="K239" s="12" t="s">
        <v>14</v>
      </c>
      <c r="L239" s="319">
        <f t="shared" si="14"/>
        <v>61</v>
      </c>
      <c r="M239" s="315">
        <v>5</v>
      </c>
      <c r="N239" s="78">
        <f>IF(K239="NV","",IF(VLOOKUP(M239,'R_Häufigkeit_Faktoren UHR'!$B$4:$I$24,7,FALSE)=0,"",VLOOKUP(M239,'R_Häufigkeit_Faktoren UHR'!$B$4:$I$24,7,FALSE)))</f>
        <v>20.917857142857144</v>
      </c>
      <c r="O239" s="3">
        <f t="shared" si="18"/>
        <v>1275.9892857142859</v>
      </c>
      <c r="P239" s="325"/>
      <c r="Q239" s="156">
        <f>IF(N239="","",VLOOKUP(J239,Raumgruppen_Leistungswerte!$B$5:$F$35,5,FALSE))</f>
        <v>0</v>
      </c>
      <c r="R239" s="157" t="e">
        <f t="shared" si="19"/>
        <v>#DIV/0!</v>
      </c>
      <c r="S239" s="445" t="e">
        <f t="shared" si="20"/>
        <v>#DIV/0!</v>
      </c>
      <c r="T239" s="78" t="str">
        <f>IF(K239="NV","",IF(VLOOKUP(M239,'R_Häufigkeit_Faktoren UHR'!$B$4:$I$24,8,FALSE)=0,"",VLOOKUP(M239,'R_Häufigkeit_Faktoren UHR'!$B$4:$I$24,8,FALSE)))</f>
        <v/>
      </c>
      <c r="U239" s="156" t="str">
        <f t="shared" si="21"/>
        <v/>
      </c>
      <c r="V239" s="427"/>
      <c r="W239" s="12" t="str">
        <f>IF(T239="","",VLOOKUP(J239,Raumgruppen_Leistungswerte!$B$5:$F$35,5,FALSE))</f>
        <v/>
      </c>
      <c r="X239" s="156" t="str">
        <f t="shared" si="22"/>
        <v/>
      </c>
      <c r="Y239" s="446" t="str">
        <f t="shared" si="23"/>
        <v/>
      </c>
      <c r="Z239" s="158">
        <f t="shared" si="15"/>
        <v>1275.9892857142859</v>
      </c>
      <c r="AA239" s="23" t="e">
        <f t="shared" si="16"/>
        <v>#DIV/0!</v>
      </c>
      <c r="AB239" s="445" t="e">
        <f t="shared" si="17"/>
        <v>#DIV/0!</v>
      </c>
      <c r="AC239" s="123"/>
    </row>
    <row r="240" spans="1:29" ht="12" customHeight="1">
      <c r="A240" s="11">
        <v>236</v>
      </c>
      <c r="B240" s="12" t="s">
        <v>495</v>
      </c>
      <c r="C240" s="17" t="s">
        <v>368</v>
      </c>
      <c r="D240" s="19" t="s">
        <v>496</v>
      </c>
      <c r="E240" s="17">
        <v>3</v>
      </c>
      <c r="F240" s="18" t="s">
        <v>514</v>
      </c>
      <c r="G240" s="319">
        <v>60.9</v>
      </c>
      <c r="H240" s="19" t="s">
        <v>513</v>
      </c>
      <c r="I240" s="20" t="s">
        <v>383</v>
      </c>
      <c r="J240" s="21" t="s">
        <v>219</v>
      </c>
      <c r="K240" s="12" t="s">
        <v>14</v>
      </c>
      <c r="L240" s="319">
        <f t="shared" si="14"/>
        <v>60.9</v>
      </c>
      <c r="M240" s="315">
        <v>5</v>
      </c>
      <c r="N240" s="78">
        <f>IF(K240="NV","",IF(VLOOKUP(M240,'R_Häufigkeit_Faktoren UHR'!$B$4:$I$24,7,FALSE)=0,"",VLOOKUP(M240,'R_Häufigkeit_Faktoren UHR'!$B$4:$I$24,7,FALSE)))</f>
        <v>20.917857142857144</v>
      </c>
      <c r="O240" s="3">
        <f t="shared" si="18"/>
        <v>1273.8975</v>
      </c>
      <c r="P240" s="325"/>
      <c r="Q240" s="156">
        <f>IF(N240="","",VLOOKUP(J240,Raumgruppen_Leistungswerte!$B$5:$F$35,5,FALSE))</f>
        <v>0</v>
      </c>
      <c r="R240" s="157" t="e">
        <f t="shared" si="19"/>
        <v>#DIV/0!</v>
      </c>
      <c r="S240" s="445" t="e">
        <f t="shared" si="20"/>
        <v>#DIV/0!</v>
      </c>
      <c r="T240" s="78" t="str">
        <f>IF(K240="NV","",IF(VLOOKUP(M240,'R_Häufigkeit_Faktoren UHR'!$B$4:$I$24,8,FALSE)=0,"",VLOOKUP(M240,'R_Häufigkeit_Faktoren UHR'!$B$4:$I$24,8,FALSE)))</f>
        <v/>
      </c>
      <c r="U240" s="156" t="str">
        <f t="shared" si="21"/>
        <v/>
      </c>
      <c r="V240" s="427"/>
      <c r="W240" s="12" t="str">
        <f>IF(T240="","",VLOOKUP(J240,Raumgruppen_Leistungswerte!$B$5:$F$35,5,FALSE))</f>
        <v/>
      </c>
      <c r="X240" s="156" t="str">
        <f t="shared" si="22"/>
        <v/>
      </c>
      <c r="Y240" s="446" t="str">
        <f t="shared" si="23"/>
        <v/>
      </c>
      <c r="Z240" s="158">
        <f t="shared" si="15"/>
        <v>1273.8975</v>
      </c>
      <c r="AA240" s="23" t="e">
        <f t="shared" si="16"/>
        <v>#DIV/0!</v>
      </c>
      <c r="AB240" s="445" t="e">
        <f t="shared" si="17"/>
        <v>#DIV/0!</v>
      </c>
      <c r="AC240" s="123"/>
    </row>
    <row r="241" spans="1:29" ht="12" customHeight="1">
      <c r="A241" s="11">
        <v>237</v>
      </c>
      <c r="B241" s="12" t="s">
        <v>495</v>
      </c>
      <c r="C241" s="17" t="s">
        <v>368</v>
      </c>
      <c r="D241" s="19" t="s">
        <v>496</v>
      </c>
      <c r="E241" s="17">
        <v>3</v>
      </c>
      <c r="F241" s="18" t="s">
        <v>515</v>
      </c>
      <c r="G241" s="319">
        <v>33.4</v>
      </c>
      <c r="H241" s="19" t="s">
        <v>377</v>
      </c>
      <c r="I241" s="14" t="s">
        <v>383</v>
      </c>
      <c r="J241" s="21" t="s">
        <v>218</v>
      </c>
      <c r="K241" s="12" t="s">
        <v>14</v>
      </c>
      <c r="L241" s="319">
        <f t="shared" si="14"/>
        <v>33.4</v>
      </c>
      <c r="M241" s="315">
        <v>3</v>
      </c>
      <c r="N241" s="78">
        <f>IF(K241="NV","",IF(VLOOKUP(M241,'R_Häufigkeit_Faktoren UHR'!$B$4:$I$24,7,FALSE)=0,"",VLOOKUP(M241,'R_Häufigkeit_Faktoren UHR'!$B$4:$I$24,7,FALSE)))</f>
        <v>13.035714285714286</v>
      </c>
      <c r="O241" s="3">
        <f t="shared" si="18"/>
        <v>435.39285714285717</v>
      </c>
      <c r="P241" s="325"/>
      <c r="Q241" s="156">
        <f>IF(N241="","",VLOOKUP(J241,Raumgruppen_Leistungswerte!$B$5:$F$35,5,FALSE))</f>
        <v>0</v>
      </c>
      <c r="R241" s="157" t="e">
        <f t="shared" si="19"/>
        <v>#DIV/0!</v>
      </c>
      <c r="S241" s="445" t="e">
        <f t="shared" si="20"/>
        <v>#DIV/0!</v>
      </c>
      <c r="T241" s="78" t="str">
        <f>IF(K241="NV","",IF(VLOOKUP(M241,'R_Häufigkeit_Faktoren UHR'!$B$4:$I$24,8,FALSE)=0,"",VLOOKUP(M241,'R_Häufigkeit_Faktoren UHR'!$B$4:$I$24,8,FALSE)))</f>
        <v/>
      </c>
      <c r="U241" s="156" t="str">
        <f t="shared" si="21"/>
        <v/>
      </c>
      <c r="V241" s="427"/>
      <c r="W241" s="12" t="str">
        <f>IF(T241="","",VLOOKUP(J241,Raumgruppen_Leistungswerte!$B$5:$F$35,5,FALSE))</f>
        <v/>
      </c>
      <c r="X241" s="156" t="str">
        <f t="shared" si="22"/>
        <v/>
      </c>
      <c r="Y241" s="446" t="str">
        <f t="shared" si="23"/>
        <v/>
      </c>
      <c r="Z241" s="158">
        <f t="shared" si="15"/>
        <v>435.39285714285717</v>
      </c>
      <c r="AA241" s="23" t="e">
        <f t="shared" si="16"/>
        <v>#DIV/0!</v>
      </c>
      <c r="AB241" s="445" t="e">
        <f t="shared" si="17"/>
        <v>#DIV/0!</v>
      </c>
      <c r="AC241" s="123"/>
    </row>
    <row r="242" spans="1:29" ht="12" customHeight="1">
      <c r="A242" s="11">
        <v>238</v>
      </c>
      <c r="B242" s="12" t="s">
        <v>495</v>
      </c>
      <c r="C242" s="17" t="s">
        <v>368</v>
      </c>
      <c r="D242" s="19" t="s">
        <v>496</v>
      </c>
      <c r="E242" s="17">
        <v>3</v>
      </c>
      <c r="F242" s="18" t="s">
        <v>516</v>
      </c>
      <c r="G242" s="319">
        <v>11.2</v>
      </c>
      <c r="H242" s="19" t="s">
        <v>517</v>
      </c>
      <c r="I242" s="14" t="s">
        <v>371</v>
      </c>
      <c r="J242" s="21" t="s">
        <v>238</v>
      </c>
      <c r="K242" s="12" t="s">
        <v>14</v>
      </c>
      <c r="L242" s="319">
        <f t="shared" si="14"/>
        <v>11.2</v>
      </c>
      <c r="M242" s="315">
        <v>5</v>
      </c>
      <c r="N242" s="78">
        <f>IF(K242="NV","",IF(VLOOKUP(M242,'R_Häufigkeit_Faktoren UHR'!$B$4:$I$24,7,FALSE)=0,"",VLOOKUP(M242,'R_Häufigkeit_Faktoren UHR'!$B$4:$I$24,7,FALSE)))</f>
        <v>20.917857142857144</v>
      </c>
      <c r="O242" s="3">
        <f t="shared" si="18"/>
        <v>234.28</v>
      </c>
      <c r="P242" s="325"/>
      <c r="Q242" s="156">
        <f>IF(N242="","",VLOOKUP(J242,Raumgruppen_Leistungswerte!$B$5:$F$35,5,FALSE))</f>
        <v>0</v>
      </c>
      <c r="R242" s="157" t="e">
        <f t="shared" si="19"/>
        <v>#DIV/0!</v>
      </c>
      <c r="S242" s="445" t="e">
        <f t="shared" si="20"/>
        <v>#DIV/0!</v>
      </c>
      <c r="T242" s="78" t="str">
        <f>IF(K242="NV","",IF(VLOOKUP(M242,'R_Häufigkeit_Faktoren UHR'!$B$4:$I$24,8,FALSE)=0,"",VLOOKUP(M242,'R_Häufigkeit_Faktoren UHR'!$B$4:$I$24,8,FALSE)))</f>
        <v/>
      </c>
      <c r="U242" s="156" t="str">
        <f t="shared" si="21"/>
        <v/>
      </c>
      <c r="V242" s="427"/>
      <c r="W242" s="12" t="str">
        <f>IF(T242="","",VLOOKUP(J242,Raumgruppen_Leistungswerte!$B$5:$F$35,5,FALSE))</f>
        <v/>
      </c>
      <c r="X242" s="156" t="str">
        <f t="shared" si="22"/>
        <v/>
      </c>
      <c r="Y242" s="446" t="str">
        <f t="shared" si="23"/>
        <v/>
      </c>
      <c r="Z242" s="158">
        <f t="shared" ref="Z242:Z273" si="34">IF(U242="",O242,O242+U242)</f>
        <v>234.28</v>
      </c>
      <c r="AA242" s="23" t="e">
        <f t="shared" ref="AA242:AA273" si="35">IF(X242="",R242,X242+R242)</f>
        <v>#DIV/0!</v>
      </c>
      <c r="AB242" s="445" t="e">
        <f t="shared" ref="AB242:AB273" si="36">IF(Y242="",S242,S242+Y242)</f>
        <v>#DIV/0!</v>
      </c>
      <c r="AC242" s="123"/>
    </row>
    <row r="243" spans="1:29" ht="12" customHeight="1">
      <c r="A243" s="11">
        <v>239</v>
      </c>
      <c r="B243" s="12" t="s">
        <v>495</v>
      </c>
      <c r="C243" s="17" t="s">
        <v>368</v>
      </c>
      <c r="D243" s="19" t="s">
        <v>496</v>
      </c>
      <c r="E243" s="17">
        <v>3</v>
      </c>
      <c r="F243" s="18" t="s">
        <v>518</v>
      </c>
      <c r="G243" s="319">
        <v>22.5</v>
      </c>
      <c r="H243" s="19" t="s">
        <v>394</v>
      </c>
      <c r="I243" s="14" t="s">
        <v>383</v>
      </c>
      <c r="J243" s="21" t="s">
        <v>238</v>
      </c>
      <c r="K243" s="12" t="s">
        <v>14</v>
      </c>
      <c r="L243" s="319">
        <f t="shared" si="14"/>
        <v>22.5</v>
      </c>
      <c r="M243" s="315">
        <v>5</v>
      </c>
      <c r="N243" s="79">
        <f>IF(K243="NV","",IF(VLOOKUP(M243,'R_Häufigkeit_Faktoren UHR'!$B$4:$I$24,7,FALSE)=0,"",VLOOKUP(M243,'R_Häufigkeit_Faktoren UHR'!$B$4:$I$24,7,FALSE)))</f>
        <v>20.917857142857144</v>
      </c>
      <c r="O243" s="3">
        <f t="shared" si="18"/>
        <v>470.65178571428578</v>
      </c>
      <c r="P243" s="325"/>
      <c r="Q243" s="156">
        <f>IF(N243="","",VLOOKUP(J243,Raumgruppen_Leistungswerte!$B$5:$F$35,5,FALSE))</f>
        <v>0</v>
      </c>
      <c r="R243" s="157" t="e">
        <f t="shared" si="19"/>
        <v>#DIV/0!</v>
      </c>
      <c r="S243" s="445" t="e">
        <f t="shared" si="20"/>
        <v>#DIV/0!</v>
      </c>
      <c r="T243" s="78" t="str">
        <f>IF(K243="NV","",IF(VLOOKUP(M243,'R_Häufigkeit_Faktoren UHR'!$B$4:$I$24,8,FALSE)=0,"",VLOOKUP(M243,'R_Häufigkeit_Faktoren UHR'!$B$4:$I$24,8,FALSE)))</f>
        <v/>
      </c>
      <c r="U243" s="156" t="str">
        <f t="shared" si="21"/>
        <v/>
      </c>
      <c r="V243" s="427"/>
      <c r="W243" s="12" t="str">
        <f>IF(T243="","",VLOOKUP(J243,Raumgruppen_Leistungswerte!$B$5:$F$35,5,FALSE))</f>
        <v/>
      </c>
      <c r="X243" s="156" t="str">
        <f t="shared" si="22"/>
        <v/>
      </c>
      <c r="Y243" s="446" t="str">
        <f t="shared" si="23"/>
        <v/>
      </c>
      <c r="Z243" s="158">
        <f t="shared" si="34"/>
        <v>470.65178571428578</v>
      </c>
      <c r="AA243" s="23" t="e">
        <f t="shared" si="35"/>
        <v>#DIV/0!</v>
      </c>
      <c r="AB243" s="445" t="e">
        <f t="shared" si="36"/>
        <v>#DIV/0!</v>
      </c>
      <c r="AC243" s="123"/>
    </row>
    <row r="244" spans="1:29" ht="12" customHeight="1">
      <c r="A244" s="11">
        <v>240</v>
      </c>
      <c r="B244" s="12" t="s">
        <v>495</v>
      </c>
      <c r="C244" s="17" t="s">
        <v>368</v>
      </c>
      <c r="D244" s="19" t="s">
        <v>496</v>
      </c>
      <c r="E244" s="17">
        <v>3</v>
      </c>
      <c r="F244" s="18" t="s">
        <v>519</v>
      </c>
      <c r="G244" s="319">
        <v>30.5</v>
      </c>
      <c r="H244" s="19" t="s">
        <v>415</v>
      </c>
      <c r="I244" s="20" t="s">
        <v>383</v>
      </c>
      <c r="J244" s="21" t="s">
        <v>245</v>
      </c>
      <c r="K244" s="12" t="s">
        <v>14</v>
      </c>
      <c r="L244" s="334">
        <f t="shared" si="14"/>
        <v>30.5</v>
      </c>
      <c r="M244" s="315">
        <v>5</v>
      </c>
      <c r="N244" s="79">
        <f>IF(K244="NV","",IF(VLOOKUP(M244,'R_Häufigkeit_Faktoren UHR'!$B$4:$I$24,7,FALSE)=0,"",VLOOKUP(M244,'R_Häufigkeit_Faktoren UHR'!$B$4:$I$24,7,FALSE)))</f>
        <v>20.917857142857144</v>
      </c>
      <c r="O244" s="3">
        <f t="shared" si="18"/>
        <v>637.99464285714294</v>
      </c>
      <c r="P244" s="325"/>
      <c r="Q244" s="156">
        <f>IF(N244="","",VLOOKUP(J244,Raumgruppen_Leistungswerte!$B$5:$F$35,5,FALSE))</f>
        <v>0</v>
      </c>
      <c r="R244" s="157" t="e">
        <f t="shared" si="19"/>
        <v>#DIV/0!</v>
      </c>
      <c r="S244" s="445" t="e">
        <f t="shared" si="20"/>
        <v>#DIV/0!</v>
      </c>
      <c r="T244" s="78" t="str">
        <f>IF(K244="NV","",IF(VLOOKUP(M244,'R_Häufigkeit_Faktoren UHR'!$B$4:$I$24,8,FALSE)=0,"",VLOOKUP(M244,'R_Häufigkeit_Faktoren UHR'!$B$4:$I$24,8,FALSE)))</f>
        <v/>
      </c>
      <c r="U244" s="156" t="str">
        <f t="shared" si="21"/>
        <v/>
      </c>
      <c r="V244" s="427"/>
      <c r="W244" s="12" t="str">
        <f>IF(T244="","",VLOOKUP(J244,Raumgruppen_Leistungswerte!$B$5:$F$35,5,FALSE))</f>
        <v/>
      </c>
      <c r="X244" s="156" t="str">
        <f t="shared" si="22"/>
        <v/>
      </c>
      <c r="Y244" s="446" t="str">
        <f t="shared" si="23"/>
        <v/>
      </c>
      <c r="Z244" s="158">
        <f t="shared" si="34"/>
        <v>637.99464285714294</v>
      </c>
      <c r="AA244" s="23" t="e">
        <f t="shared" si="35"/>
        <v>#DIV/0!</v>
      </c>
      <c r="AB244" s="445" t="e">
        <f t="shared" si="36"/>
        <v>#DIV/0!</v>
      </c>
      <c r="AC244" s="123"/>
    </row>
    <row r="245" spans="1:29" ht="12" customHeight="1">
      <c r="A245" s="11">
        <v>241</v>
      </c>
      <c r="B245" s="12" t="s">
        <v>495</v>
      </c>
      <c r="C245" s="17" t="s">
        <v>368</v>
      </c>
      <c r="D245" s="19" t="s">
        <v>496</v>
      </c>
      <c r="E245" s="17">
        <v>3</v>
      </c>
      <c r="F245" s="18" t="s">
        <v>520</v>
      </c>
      <c r="G245" s="319">
        <v>7.2</v>
      </c>
      <c r="H245" s="19" t="s">
        <v>521</v>
      </c>
      <c r="I245" s="20" t="s">
        <v>383</v>
      </c>
      <c r="J245" s="21" t="s">
        <v>176</v>
      </c>
      <c r="K245" s="12" t="s">
        <v>14</v>
      </c>
      <c r="L245" s="319">
        <f t="shared" si="14"/>
        <v>7.2</v>
      </c>
      <c r="M245" s="315">
        <v>1</v>
      </c>
      <c r="N245" s="79">
        <f>IF(K245="NV","",IF(VLOOKUP(M245,'R_Häufigkeit_Faktoren UHR'!$B$4:$I$24,7,FALSE)=0,"",VLOOKUP(M245,'R_Häufigkeit_Faktoren UHR'!$B$4:$I$24,7,FALSE)))</f>
        <v>4.3452380952380958</v>
      </c>
      <c r="O245" s="3">
        <f t="shared" si="18"/>
        <v>31.285714285714292</v>
      </c>
      <c r="P245" s="325"/>
      <c r="Q245" s="156">
        <f>IF(N245="","",VLOOKUP(J245,Raumgruppen_Leistungswerte!$B$5:$F$35,5,FALSE))</f>
        <v>0</v>
      </c>
      <c r="R245" s="157" t="e">
        <f t="shared" si="19"/>
        <v>#DIV/0!</v>
      </c>
      <c r="S245" s="445" t="e">
        <f t="shared" si="20"/>
        <v>#DIV/0!</v>
      </c>
      <c r="T245" s="78" t="str">
        <f>IF(K245="NV","",IF(VLOOKUP(M245,'R_Häufigkeit_Faktoren UHR'!$B$4:$I$24,8,FALSE)=0,"",VLOOKUP(M245,'R_Häufigkeit_Faktoren UHR'!$B$4:$I$24,8,FALSE)))</f>
        <v/>
      </c>
      <c r="U245" s="156" t="str">
        <f t="shared" si="21"/>
        <v/>
      </c>
      <c r="V245" s="427"/>
      <c r="W245" s="12" t="str">
        <f>IF(T245="","",VLOOKUP(J245,Raumgruppen_Leistungswerte!$B$5:$F$35,5,FALSE))</f>
        <v/>
      </c>
      <c r="X245" s="156" t="str">
        <f t="shared" si="22"/>
        <v/>
      </c>
      <c r="Y245" s="446" t="str">
        <f t="shared" si="23"/>
        <v/>
      </c>
      <c r="Z245" s="158">
        <f t="shared" si="34"/>
        <v>31.285714285714292</v>
      </c>
      <c r="AA245" s="23" t="e">
        <f t="shared" si="35"/>
        <v>#DIV/0!</v>
      </c>
      <c r="AB245" s="445" t="e">
        <f t="shared" si="36"/>
        <v>#DIV/0!</v>
      </c>
      <c r="AC245" s="123"/>
    </row>
    <row r="246" spans="1:29" ht="12" customHeight="1">
      <c r="A246" s="11">
        <v>242</v>
      </c>
      <c r="B246" s="12" t="s">
        <v>495</v>
      </c>
      <c r="C246" s="17" t="s">
        <v>368</v>
      </c>
      <c r="D246" s="19" t="s">
        <v>496</v>
      </c>
      <c r="E246" s="17">
        <v>3</v>
      </c>
      <c r="F246" s="18" t="s">
        <v>522</v>
      </c>
      <c r="G246" s="319">
        <v>60.7</v>
      </c>
      <c r="H246" s="19" t="s">
        <v>513</v>
      </c>
      <c r="I246" s="20" t="s">
        <v>383</v>
      </c>
      <c r="J246" s="21" t="s">
        <v>219</v>
      </c>
      <c r="K246" s="12" t="s">
        <v>14</v>
      </c>
      <c r="L246" s="319">
        <f t="shared" ref="L246:L309" si="37">IF(K246="NV","",G246)</f>
        <v>60.7</v>
      </c>
      <c r="M246" s="315">
        <v>5</v>
      </c>
      <c r="N246" s="79">
        <f>IF(K246="NV","",IF(VLOOKUP(M246,'R_Häufigkeit_Faktoren UHR'!$B$4:$I$24,7,FALSE)=0,"",VLOOKUP(M246,'R_Häufigkeit_Faktoren UHR'!$B$4:$I$24,7,FALSE)))</f>
        <v>20.917857142857144</v>
      </c>
      <c r="O246" s="3">
        <f t="shared" si="18"/>
        <v>1269.7139285714288</v>
      </c>
      <c r="P246" s="325"/>
      <c r="Q246" s="156">
        <f>IF(N246="","",VLOOKUP(J246,Raumgruppen_Leistungswerte!$B$5:$F$35,5,FALSE))</f>
        <v>0</v>
      </c>
      <c r="R246" s="157" t="e">
        <f t="shared" si="19"/>
        <v>#DIV/0!</v>
      </c>
      <c r="S246" s="445" t="e">
        <f t="shared" si="20"/>
        <v>#DIV/0!</v>
      </c>
      <c r="T246" s="78" t="str">
        <f>IF(K246="NV","",IF(VLOOKUP(M246,'R_Häufigkeit_Faktoren UHR'!$B$4:$I$24,8,FALSE)=0,"",VLOOKUP(M246,'R_Häufigkeit_Faktoren UHR'!$B$4:$I$24,8,FALSE)))</f>
        <v/>
      </c>
      <c r="U246" s="156" t="str">
        <f t="shared" si="21"/>
        <v/>
      </c>
      <c r="V246" s="427"/>
      <c r="W246" s="12" t="str">
        <f>IF(T246="","",VLOOKUP(J246,Raumgruppen_Leistungswerte!$B$5:$F$35,5,FALSE))</f>
        <v/>
      </c>
      <c r="X246" s="156" t="str">
        <f t="shared" si="22"/>
        <v/>
      </c>
      <c r="Y246" s="446" t="str">
        <f t="shared" si="23"/>
        <v/>
      </c>
      <c r="Z246" s="158">
        <f t="shared" si="34"/>
        <v>1269.7139285714288</v>
      </c>
      <c r="AA246" s="23" t="e">
        <f t="shared" si="35"/>
        <v>#DIV/0!</v>
      </c>
      <c r="AB246" s="445" t="e">
        <f t="shared" si="36"/>
        <v>#DIV/0!</v>
      </c>
      <c r="AC246" s="123"/>
    </row>
    <row r="247" spans="1:29" ht="12" customHeight="1">
      <c r="A247" s="11">
        <v>243</v>
      </c>
      <c r="B247" s="12" t="s">
        <v>495</v>
      </c>
      <c r="C247" s="17" t="s">
        <v>368</v>
      </c>
      <c r="D247" s="19" t="s">
        <v>496</v>
      </c>
      <c r="E247" s="17">
        <v>3</v>
      </c>
      <c r="F247" s="18" t="s">
        <v>523</v>
      </c>
      <c r="G247" s="319">
        <v>60.6</v>
      </c>
      <c r="H247" s="19" t="s">
        <v>513</v>
      </c>
      <c r="I247" s="20" t="s">
        <v>383</v>
      </c>
      <c r="J247" s="21" t="s">
        <v>219</v>
      </c>
      <c r="K247" s="12" t="s">
        <v>14</v>
      </c>
      <c r="L247" s="319">
        <f t="shared" si="37"/>
        <v>60.6</v>
      </c>
      <c r="M247" s="315">
        <v>5</v>
      </c>
      <c r="N247" s="79">
        <f>IF(K247="NV","",IF(VLOOKUP(M247,'R_Häufigkeit_Faktoren UHR'!$B$4:$I$24,7,FALSE)=0,"",VLOOKUP(M247,'R_Häufigkeit_Faktoren UHR'!$B$4:$I$24,7,FALSE)))</f>
        <v>20.917857142857144</v>
      </c>
      <c r="O247" s="3">
        <f t="shared" si="18"/>
        <v>1267.622142857143</v>
      </c>
      <c r="P247" s="325"/>
      <c r="Q247" s="156">
        <f>IF(N247="","",VLOOKUP(J247,Raumgruppen_Leistungswerte!$B$5:$F$35,5,FALSE))</f>
        <v>0</v>
      </c>
      <c r="R247" s="157" t="e">
        <f t="shared" si="19"/>
        <v>#DIV/0!</v>
      </c>
      <c r="S247" s="445" t="e">
        <f t="shared" si="20"/>
        <v>#DIV/0!</v>
      </c>
      <c r="T247" s="78" t="str">
        <f>IF(K247="NV","",IF(VLOOKUP(M247,'R_Häufigkeit_Faktoren UHR'!$B$4:$I$24,8,FALSE)=0,"",VLOOKUP(M247,'R_Häufigkeit_Faktoren UHR'!$B$4:$I$24,8,FALSE)))</f>
        <v/>
      </c>
      <c r="U247" s="156" t="str">
        <f t="shared" si="21"/>
        <v/>
      </c>
      <c r="V247" s="427"/>
      <c r="W247" s="12" t="str">
        <f>IF(T247="","",VLOOKUP(J247,Raumgruppen_Leistungswerte!$B$5:$F$35,5,FALSE))</f>
        <v/>
      </c>
      <c r="X247" s="156" t="str">
        <f t="shared" si="22"/>
        <v/>
      </c>
      <c r="Y247" s="446" t="str">
        <f t="shared" si="23"/>
        <v/>
      </c>
      <c r="Z247" s="158">
        <f t="shared" si="34"/>
        <v>1267.622142857143</v>
      </c>
      <c r="AA247" s="23" t="e">
        <f t="shared" si="35"/>
        <v>#DIV/0!</v>
      </c>
      <c r="AB247" s="445" t="e">
        <f t="shared" si="36"/>
        <v>#DIV/0!</v>
      </c>
      <c r="AC247" s="123"/>
    </row>
    <row r="248" spans="1:29" ht="12" customHeight="1">
      <c r="A248" s="11">
        <v>244</v>
      </c>
      <c r="B248" s="12" t="s">
        <v>495</v>
      </c>
      <c r="C248" s="17" t="s">
        <v>368</v>
      </c>
      <c r="D248" s="19" t="s">
        <v>416</v>
      </c>
      <c r="E248" s="17">
        <v>3</v>
      </c>
      <c r="F248" s="18" t="s">
        <v>524</v>
      </c>
      <c r="G248" s="319">
        <v>21.3</v>
      </c>
      <c r="H248" s="19" t="s">
        <v>418</v>
      </c>
      <c r="I248" s="14" t="s">
        <v>383</v>
      </c>
      <c r="J248" s="21" t="s">
        <v>121</v>
      </c>
      <c r="K248" s="12" t="s">
        <v>173</v>
      </c>
      <c r="L248" s="334" t="str">
        <f t="shared" si="37"/>
        <v/>
      </c>
      <c r="M248" s="315"/>
      <c r="N248" s="79" t="str">
        <f>IF(K248="NV","",IF(VLOOKUP(M248,'R_Häufigkeit_Faktoren UHR'!$B$4:$I$24,7,FALSE)=0,"",VLOOKUP(M248,'R_Häufigkeit_Faktoren UHR'!$B$4:$I$24,7,FALSE)))</f>
        <v/>
      </c>
      <c r="O248" s="3" t="str">
        <f t="shared" si="18"/>
        <v/>
      </c>
      <c r="P248" s="325"/>
      <c r="Q248" s="156" t="str">
        <f>IF(N248="","",VLOOKUP(J248,Raumgruppen_Leistungswerte!$B$5:$F$35,5,FALSE))</f>
        <v/>
      </c>
      <c r="R248" s="157" t="str">
        <f t="shared" si="19"/>
        <v/>
      </c>
      <c r="S248" s="445" t="str">
        <f t="shared" si="20"/>
        <v/>
      </c>
      <c r="T248" s="78" t="str">
        <f>IF(K248="NV","",IF(VLOOKUP(M248,'R_Häufigkeit_Faktoren UHR'!$B$4:$I$24,8,FALSE)=0,"",VLOOKUP(M248,'R_Häufigkeit_Faktoren UHR'!$B$4:$I$24,8,FALSE)))</f>
        <v/>
      </c>
      <c r="U248" s="156" t="str">
        <f t="shared" si="21"/>
        <v/>
      </c>
      <c r="V248" s="427"/>
      <c r="W248" s="12" t="str">
        <f>IF(T248="","",VLOOKUP(J248,Raumgruppen_Leistungswerte!$B$5:$F$35,5,FALSE))</f>
        <v/>
      </c>
      <c r="X248" s="156" t="str">
        <f t="shared" si="22"/>
        <v/>
      </c>
      <c r="Y248" s="446" t="str">
        <f t="shared" si="23"/>
        <v/>
      </c>
      <c r="Z248" s="158" t="str">
        <f t="shared" si="34"/>
        <v/>
      </c>
      <c r="AA248" s="23" t="str">
        <f t="shared" si="35"/>
        <v/>
      </c>
      <c r="AB248" s="445" t="str">
        <f t="shared" si="36"/>
        <v/>
      </c>
      <c r="AC248" s="123"/>
    </row>
    <row r="249" spans="1:29" ht="12" customHeight="1">
      <c r="A249" s="11">
        <v>245</v>
      </c>
      <c r="B249" s="12" t="s">
        <v>495</v>
      </c>
      <c r="C249" s="17" t="s">
        <v>368</v>
      </c>
      <c r="D249" s="19" t="s">
        <v>416</v>
      </c>
      <c r="E249" s="17">
        <v>3</v>
      </c>
      <c r="F249" s="18" t="s">
        <v>525</v>
      </c>
      <c r="G249" s="319">
        <v>7</v>
      </c>
      <c r="H249" s="19" t="s">
        <v>418</v>
      </c>
      <c r="I249" s="14" t="s">
        <v>383</v>
      </c>
      <c r="J249" s="21" t="s">
        <v>121</v>
      </c>
      <c r="K249" s="12" t="s">
        <v>173</v>
      </c>
      <c r="L249" s="334" t="str">
        <f t="shared" si="37"/>
        <v/>
      </c>
      <c r="M249" s="315"/>
      <c r="N249" s="79" t="str">
        <f>IF(K249="NV","",IF(VLOOKUP(M249,'R_Häufigkeit_Faktoren UHR'!$B$4:$I$24,7,FALSE)=0,"",VLOOKUP(M249,'R_Häufigkeit_Faktoren UHR'!$B$4:$I$24,7,FALSE)))</f>
        <v/>
      </c>
      <c r="O249" s="3" t="str">
        <f t="shared" si="18"/>
        <v/>
      </c>
      <c r="P249" s="325"/>
      <c r="Q249" s="156" t="str">
        <f>IF(N249="","",VLOOKUP(J249,Raumgruppen_Leistungswerte!$B$5:$F$35,5,FALSE))</f>
        <v/>
      </c>
      <c r="R249" s="157" t="str">
        <f t="shared" si="19"/>
        <v/>
      </c>
      <c r="S249" s="445" t="str">
        <f t="shared" si="20"/>
        <v/>
      </c>
      <c r="T249" s="78" t="str">
        <f>IF(K249="NV","",IF(VLOOKUP(M249,'R_Häufigkeit_Faktoren UHR'!$B$4:$I$24,8,FALSE)=0,"",VLOOKUP(M249,'R_Häufigkeit_Faktoren UHR'!$B$4:$I$24,8,FALSE)))</f>
        <v/>
      </c>
      <c r="U249" s="156" t="str">
        <f t="shared" si="21"/>
        <v/>
      </c>
      <c r="V249" s="427"/>
      <c r="W249" s="12" t="str">
        <f>IF(T249="","",VLOOKUP(J249,Raumgruppen_Leistungswerte!$B$5:$F$35,5,FALSE))</f>
        <v/>
      </c>
      <c r="X249" s="156" t="str">
        <f t="shared" si="22"/>
        <v/>
      </c>
      <c r="Y249" s="446" t="str">
        <f t="shared" si="23"/>
        <v/>
      </c>
      <c r="Z249" s="158" t="str">
        <f t="shared" si="34"/>
        <v/>
      </c>
      <c r="AA249" s="23" t="str">
        <f t="shared" si="35"/>
        <v/>
      </c>
      <c r="AB249" s="445" t="str">
        <f t="shared" si="36"/>
        <v/>
      </c>
      <c r="AC249" s="123"/>
    </row>
    <row r="250" spans="1:29" ht="12" customHeight="1">
      <c r="A250" s="11">
        <v>246</v>
      </c>
      <c r="B250" s="12" t="s">
        <v>495</v>
      </c>
      <c r="C250" s="17" t="s">
        <v>368</v>
      </c>
      <c r="D250" s="19" t="s">
        <v>272</v>
      </c>
      <c r="E250" s="17">
        <v>3</v>
      </c>
      <c r="F250" s="18" t="s">
        <v>526</v>
      </c>
      <c r="G250" s="319">
        <v>34.5</v>
      </c>
      <c r="H250" s="19" t="s">
        <v>365</v>
      </c>
      <c r="I250" s="14" t="s">
        <v>335</v>
      </c>
      <c r="J250" s="21" t="s">
        <v>240</v>
      </c>
      <c r="K250" s="12" t="s">
        <v>14</v>
      </c>
      <c r="L250" s="319">
        <f t="shared" si="37"/>
        <v>34.5</v>
      </c>
      <c r="M250" s="315">
        <v>3</v>
      </c>
      <c r="N250" s="79">
        <f>IF(K250="NV","",IF(VLOOKUP(M250,'R_Häufigkeit_Faktoren UHR'!$B$4:$I$24,7,FALSE)=0,"",VLOOKUP(M250,'R_Häufigkeit_Faktoren UHR'!$B$4:$I$24,7,FALSE)))</f>
        <v>13.035714285714286</v>
      </c>
      <c r="O250" s="3">
        <f t="shared" si="18"/>
        <v>449.73214285714289</v>
      </c>
      <c r="P250" s="325"/>
      <c r="Q250" s="156">
        <f>IF(N250="","",VLOOKUP(J250,Raumgruppen_Leistungswerte!$B$5:$F$35,5,FALSE))</f>
        <v>0</v>
      </c>
      <c r="R250" s="157" t="e">
        <f t="shared" si="19"/>
        <v>#DIV/0!</v>
      </c>
      <c r="S250" s="445" t="e">
        <f t="shared" si="20"/>
        <v>#DIV/0!</v>
      </c>
      <c r="T250" s="78" t="str">
        <f>IF(K250="NV","",IF(VLOOKUP(M250,'R_Häufigkeit_Faktoren UHR'!$B$4:$I$24,8,FALSE)=0,"",VLOOKUP(M250,'R_Häufigkeit_Faktoren UHR'!$B$4:$I$24,8,FALSE)))</f>
        <v/>
      </c>
      <c r="U250" s="156" t="str">
        <f t="shared" si="21"/>
        <v/>
      </c>
      <c r="V250" s="427"/>
      <c r="W250" s="12" t="str">
        <f>IF(T250="","",VLOOKUP(J250,Raumgruppen_Leistungswerte!$B$5:$F$35,5,FALSE))</f>
        <v/>
      </c>
      <c r="X250" s="156" t="str">
        <f t="shared" si="22"/>
        <v/>
      </c>
      <c r="Y250" s="446" t="str">
        <f t="shared" si="23"/>
        <v/>
      </c>
      <c r="Z250" s="158">
        <f t="shared" si="34"/>
        <v>449.73214285714289</v>
      </c>
      <c r="AA250" s="23" t="e">
        <f t="shared" si="35"/>
        <v>#DIV/0!</v>
      </c>
      <c r="AB250" s="445" t="e">
        <f t="shared" si="36"/>
        <v>#DIV/0!</v>
      </c>
      <c r="AC250" s="123"/>
    </row>
    <row r="251" spans="1:29" ht="12" customHeight="1">
      <c r="A251" s="11">
        <v>247</v>
      </c>
      <c r="B251" s="12" t="s">
        <v>495</v>
      </c>
      <c r="C251" s="17" t="s">
        <v>368</v>
      </c>
      <c r="D251" s="19" t="s">
        <v>287</v>
      </c>
      <c r="E251" s="17">
        <v>3</v>
      </c>
      <c r="F251" s="18" t="s">
        <v>360</v>
      </c>
      <c r="G251" s="319">
        <v>6.2</v>
      </c>
      <c r="H251" s="19" t="s">
        <v>358</v>
      </c>
      <c r="I251" s="20"/>
      <c r="J251" s="21" t="s">
        <v>238</v>
      </c>
      <c r="K251" s="12" t="s">
        <v>14</v>
      </c>
      <c r="L251" s="319">
        <f t="shared" si="37"/>
        <v>6.2</v>
      </c>
      <c r="M251" s="315">
        <v>3</v>
      </c>
      <c r="N251" s="79">
        <f>IF(K251="NV","",IF(VLOOKUP(M251,'R_Häufigkeit_Faktoren UHR'!$B$4:$I$24,7,FALSE)=0,"",VLOOKUP(M251,'R_Häufigkeit_Faktoren UHR'!$B$4:$I$24,7,FALSE)))</f>
        <v>13.035714285714286</v>
      </c>
      <c r="O251" s="3">
        <f t="shared" si="18"/>
        <v>80.821428571428584</v>
      </c>
      <c r="P251" s="325"/>
      <c r="Q251" s="156">
        <f>IF(N251="","",VLOOKUP(J251,Raumgruppen_Leistungswerte!$B$5:$F$35,5,FALSE))</f>
        <v>0</v>
      </c>
      <c r="R251" s="157" t="e">
        <f t="shared" si="19"/>
        <v>#DIV/0!</v>
      </c>
      <c r="S251" s="445" t="e">
        <f t="shared" si="20"/>
        <v>#DIV/0!</v>
      </c>
      <c r="T251" s="78" t="str">
        <f>IF(K251="NV","",IF(VLOOKUP(M251,'R_Häufigkeit_Faktoren UHR'!$B$4:$I$24,8,FALSE)=0,"",VLOOKUP(M251,'R_Häufigkeit_Faktoren UHR'!$B$4:$I$24,8,FALSE)))</f>
        <v/>
      </c>
      <c r="U251" s="156" t="str">
        <f t="shared" si="21"/>
        <v/>
      </c>
      <c r="V251" s="427"/>
      <c r="W251" s="12" t="str">
        <f>IF(T251="","",VLOOKUP(J251,Raumgruppen_Leistungswerte!$B$5:$F$35,5,FALSE))</f>
        <v/>
      </c>
      <c r="X251" s="156" t="str">
        <f t="shared" si="22"/>
        <v/>
      </c>
      <c r="Y251" s="446" t="str">
        <f t="shared" si="23"/>
        <v/>
      </c>
      <c r="Z251" s="158">
        <f t="shared" si="34"/>
        <v>80.821428571428584</v>
      </c>
      <c r="AA251" s="23" t="e">
        <f t="shared" si="35"/>
        <v>#DIV/0!</v>
      </c>
      <c r="AB251" s="445" t="e">
        <f t="shared" si="36"/>
        <v>#DIV/0!</v>
      </c>
      <c r="AC251" s="123"/>
    </row>
    <row r="252" spans="1:29" ht="12" customHeight="1">
      <c r="A252" s="11">
        <v>248</v>
      </c>
      <c r="B252" s="12" t="s">
        <v>495</v>
      </c>
      <c r="C252" s="17" t="s">
        <v>368</v>
      </c>
      <c r="D252" s="19" t="s">
        <v>287</v>
      </c>
      <c r="E252" s="17">
        <v>3</v>
      </c>
      <c r="F252" s="18" t="s">
        <v>361</v>
      </c>
      <c r="G252" s="319">
        <v>4.5</v>
      </c>
      <c r="H252" s="19" t="s">
        <v>358</v>
      </c>
      <c r="I252" s="20"/>
      <c r="J252" s="21" t="s">
        <v>238</v>
      </c>
      <c r="K252" s="12" t="s">
        <v>14</v>
      </c>
      <c r="L252" s="319">
        <f t="shared" si="37"/>
        <v>4.5</v>
      </c>
      <c r="M252" s="315">
        <v>3</v>
      </c>
      <c r="N252" s="79">
        <f>IF(K252="NV","",IF(VLOOKUP(M252,'R_Häufigkeit_Faktoren UHR'!$B$4:$I$24,7,FALSE)=0,"",VLOOKUP(M252,'R_Häufigkeit_Faktoren UHR'!$B$4:$I$24,7,FALSE)))</f>
        <v>13.035714285714286</v>
      </c>
      <c r="O252" s="3">
        <f t="shared" si="18"/>
        <v>58.660714285714292</v>
      </c>
      <c r="P252" s="325"/>
      <c r="Q252" s="156">
        <f>IF(N252="","",VLOOKUP(J252,Raumgruppen_Leistungswerte!$B$5:$F$35,5,FALSE))</f>
        <v>0</v>
      </c>
      <c r="R252" s="157" t="e">
        <f t="shared" si="19"/>
        <v>#DIV/0!</v>
      </c>
      <c r="S252" s="445" t="e">
        <f t="shared" si="20"/>
        <v>#DIV/0!</v>
      </c>
      <c r="T252" s="78" t="str">
        <f>IF(K252="NV","",IF(VLOOKUP(M252,'R_Häufigkeit_Faktoren UHR'!$B$4:$I$24,8,FALSE)=0,"",VLOOKUP(M252,'R_Häufigkeit_Faktoren UHR'!$B$4:$I$24,8,FALSE)))</f>
        <v/>
      </c>
      <c r="U252" s="156" t="str">
        <f t="shared" si="21"/>
        <v/>
      </c>
      <c r="V252" s="427"/>
      <c r="W252" s="12" t="str">
        <f>IF(T252="","",VLOOKUP(J252,Raumgruppen_Leistungswerte!$B$5:$F$35,5,FALSE))</f>
        <v/>
      </c>
      <c r="X252" s="156" t="str">
        <f t="shared" si="22"/>
        <v/>
      </c>
      <c r="Y252" s="446" t="str">
        <f t="shared" si="23"/>
        <v/>
      </c>
      <c r="Z252" s="158">
        <f t="shared" si="34"/>
        <v>58.660714285714292</v>
      </c>
      <c r="AA252" s="23" t="e">
        <f t="shared" si="35"/>
        <v>#DIV/0!</v>
      </c>
      <c r="AB252" s="445" t="e">
        <f t="shared" si="36"/>
        <v>#DIV/0!</v>
      </c>
      <c r="AC252" s="123"/>
    </row>
    <row r="253" spans="1:29" ht="12" customHeight="1">
      <c r="A253" s="11">
        <v>249</v>
      </c>
      <c r="B253" s="12" t="s">
        <v>495</v>
      </c>
      <c r="C253" s="17" t="s">
        <v>368</v>
      </c>
      <c r="D253" s="19" t="s">
        <v>496</v>
      </c>
      <c r="E253" s="17">
        <v>4</v>
      </c>
      <c r="F253" s="18" t="s">
        <v>527</v>
      </c>
      <c r="G253" s="319">
        <v>48.9</v>
      </c>
      <c r="H253" s="19" t="s">
        <v>320</v>
      </c>
      <c r="I253" s="20" t="s">
        <v>383</v>
      </c>
      <c r="J253" s="21" t="s">
        <v>238</v>
      </c>
      <c r="K253" s="12" t="s">
        <v>14</v>
      </c>
      <c r="L253" s="319">
        <f t="shared" si="37"/>
        <v>48.9</v>
      </c>
      <c r="M253" s="315">
        <v>5</v>
      </c>
      <c r="N253" s="79">
        <f>IF(K253="NV","",IF(VLOOKUP(M253,'R_Häufigkeit_Faktoren UHR'!$B$4:$I$24,7,FALSE)=0,"",VLOOKUP(M253,'R_Häufigkeit_Faktoren UHR'!$B$4:$I$24,7,FALSE)))</f>
        <v>20.917857142857144</v>
      </c>
      <c r="O253" s="3">
        <f t="shared" si="18"/>
        <v>1022.8832142857143</v>
      </c>
      <c r="P253" s="325"/>
      <c r="Q253" s="156">
        <f>IF(N253="","",VLOOKUP(J253,Raumgruppen_Leistungswerte!$B$5:$F$35,5,FALSE))</f>
        <v>0</v>
      </c>
      <c r="R253" s="157" t="e">
        <f t="shared" si="19"/>
        <v>#DIV/0!</v>
      </c>
      <c r="S253" s="445" t="e">
        <f t="shared" si="20"/>
        <v>#DIV/0!</v>
      </c>
      <c r="T253" s="78" t="str">
        <f>IF(K253="NV","",IF(VLOOKUP(M253,'R_Häufigkeit_Faktoren UHR'!$B$4:$I$24,8,FALSE)=0,"",VLOOKUP(M253,'R_Häufigkeit_Faktoren UHR'!$B$4:$I$24,8,FALSE)))</f>
        <v/>
      </c>
      <c r="U253" s="156" t="str">
        <f t="shared" si="21"/>
        <v/>
      </c>
      <c r="V253" s="427"/>
      <c r="W253" s="12" t="str">
        <f>IF(T253="","",VLOOKUP(J253,Raumgruppen_Leistungswerte!$B$5:$F$35,5,FALSE))</f>
        <v/>
      </c>
      <c r="X253" s="156" t="str">
        <f t="shared" si="22"/>
        <v/>
      </c>
      <c r="Y253" s="446" t="str">
        <f t="shared" si="23"/>
        <v/>
      </c>
      <c r="Z253" s="158">
        <f t="shared" si="34"/>
        <v>1022.8832142857143</v>
      </c>
      <c r="AA253" s="23" t="e">
        <f t="shared" si="35"/>
        <v>#DIV/0!</v>
      </c>
      <c r="AB253" s="445" t="e">
        <f t="shared" si="36"/>
        <v>#DIV/0!</v>
      </c>
      <c r="AC253" s="123"/>
    </row>
    <row r="254" spans="1:29" ht="12" customHeight="1">
      <c r="A254" s="11">
        <v>250</v>
      </c>
      <c r="B254" s="12" t="s">
        <v>495</v>
      </c>
      <c r="C254" s="17" t="s">
        <v>368</v>
      </c>
      <c r="D254" s="19" t="s">
        <v>496</v>
      </c>
      <c r="E254" s="17">
        <v>4</v>
      </c>
      <c r="F254" s="18" t="s">
        <v>528</v>
      </c>
      <c r="G254" s="319">
        <v>60.5</v>
      </c>
      <c r="H254" s="19" t="s">
        <v>513</v>
      </c>
      <c r="I254" s="20" t="s">
        <v>383</v>
      </c>
      <c r="J254" s="21" t="s">
        <v>219</v>
      </c>
      <c r="K254" s="12" t="s">
        <v>14</v>
      </c>
      <c r="L254" s="319">
        <f t="shared" si="37"/>
        <v>60.5</v>
      </c>
      <c r="M254" s="315">
        <v>5</v>
      </c>
      <c r="N254" s="79">
        <f>IF(K254="NV","",IF(VLOOKUP(M254,'R_Häufigkeit_Faktoren UHR'!$B$4:$I$24,7,FALSE)=0,"",VLOOKUP(M254,'R_Häufigkeit_Faktoren UHR'!$B$4:$I$24,7,FALSE)))</f>
        <v>20.917857142857144</v>
      </c>
      <c r="O254" s="3">
        <f t="shared" si="18"/>
        <v>1265.5303571428572</v>
      </c>
      <c r="P254" s="325"/>
      <c r="Q254" s="156">
        <f>IF(N254="","",VLOOKUP(J254,Raumgruppen_Leistungswerte!$B$5:$F$35,5,FALSE))</f>
        <v>0</v>
      </c>
      <c r="R254" s="157" t="e">
        <f t="shared" si="19"/>
        <v>#DIV/0!</v>
      </c>
      <c r="S254" s="445" t="e">
        <f t="shared" si="20"/>
        <v>#DIV/0!</v>
      </c>
      <c r="T254" s="78" t="str">
        <f>IF(K254="NV","",IF(VLOOKUP(M254,'R_Häufigkeit_Faktoren UHR'!$B$4:$I$24,8,FALSE)=0,"",VLOOKUP(M254,'R_Häufigkeit_Faktoren UHR'!$B$4:$I$24,8,FALSE)))</f>
        <v/>
      </c>
      <c r="U254" s="156" t="str">
        <f t="shared" si="21"/>
        <v/>
      </c>
      <c r="V254" s="427"/>
      <c r="W254" s="12" t="str">
        <f>IF(T254="","",VLOOKUP(J254,Raumgruppen_Leistungswerte!$B$5:$F$35,5,FALSE))</f>
        <v/>
      </c>
      <c r="X254" s="156" t="str">
        <f t="shared" si="22"/>
        <v/>
      </c>
      <c r="Y254" s="446" t="str">
        <f t="shared" si="23"/>
        <v/>
      </c>
      <c r="Z254" s="158">
        <f t="shared" si="34"/>
        <v>1265.5303571428572</v>
      </c>
      <c r="AA254" s="23" t="e">
        <f t="shared" si="35"/>
        <v>#DIV/0!</v>
      </c>
      <c r="AB254" s="445" t="e">
        <f t="shared" si="36"/>
        <v>#DIV/0!</v>
      </c>
      <c r="AC254" s="123"/>
    </row>
    <row r="255" spans="1:29" ht="12" customHeight="1">
      <c r="A255" s="11">
        <v>251</v>
      </c>
      <c r="B255" s="12" t="s">
        <v>495</v>
      </c>
      <c r="C255" s="17" t="s">
        <v>368</v>
      </c>
      <c r="D255" s="19" t="s">
        <v>496</v>
      </c>
      <c r="E255" s="17">
        <v>4</v>
      </c>
      <c r="F255" s="18" t="s">
        <v>529</v>
      </c>
      <c r="G255" s="319">
        <v>61</v>
      </c>
      <c r="H255" s="19" t="s">
        <v>513</v>
      </c>
      <c r="I255" s="20" t="s">
        <v>383</v>
      </c>
      <c r="J255" s="21" t="s">
        <v>219</v>
      </c>
      <c r="K255" s="12" t="s">
        <v>14</v>
      </c>
      <c r="L255" s="319">
        <f t="shared" si="37"/>
        <v>61</v>
      </c>
      <c r="M255" s="315">
        <v>5</v>
      </c>
      <c r="N255" s="79">
        <f>IF(K255="NV","",IF(VLOOKUP(M255,'R_Häufigkeit_Faktoren UHR'!$B$4:$I$24,7,FALSE)=0,"",VLOOKUP(M255,'R_Häufigkeit_Faktoren UHR'!$B$4:$I$24,7,FALSE)))</f>
        <v>20.917857142857144</v>
      </c>
      <c r="O255" s="3">
        <f t="shared" si="18"/>
        <v>1275.9892857142859</v>
      </c>
      <c r="P255" s="325"/>
      <c r="Q255" s="156">
        <f>IF(N255="","",VLOOKUP(J255,Raumgruppen_Leistungswerte!$B$5:$F$35,5,FALSE))</f>
        <v>0</v>
      </c>
      <c r="R255" s="157" t="e">
        <f t="shared" si="19"/>
        <v>#DIV/0!</v>
      </c>
      <c r="S255" s="445" t="e">
        <f t="shared" si="20"/>
        <v>#DIV/0!</v>
      </c>
      <c r="T255" s="78" t="str">
        <f>IF(K255="NV","",IF(VLOOKUP(M255,'R_Häufigkeit_Faktoren UHR'!$B$4:$I$24,8,FALSE)=0,"",VLOOKUP(M255,'R_Häufigkeit_Faktoren UHR'!$B$4:$I$24,8,FALSE)))</f>
        <v/>
      </c>
      <c r="U255" s="156" t="str">
        <f t="shared" si="21"/>
        <v/>
      </c>
      <c r="V255" s="427"/>
      <c r="W255" s="12" t="str">
        <f>IF(T255="","",VLOOKUP(J255,Raumgruppen_Leistungswerte!$B$5:$F$35,5,FALSE))</f>
        <v/>
      </c>
      <c r="X255" s="156" t="str">
        <f t="shared" si="22"/>
        <v/>
      </c>
      <c r="Y255" s="446" t="str">
        <f t="shared" si="23"/>
        <v/>
      </c>
      <c r="Z255" s="158">
        <f t="shared" si="34"/>
        <v>1275.9892857142859</v>
      </c>
      <c r="AA255" s="23" t="e">
        <f t="shared" si="35"/>
        <v>#DIV/0!</v>
      </c>
      <c r="AB255" s="445" t="e">
        <f t="shared" si="36"/>
        <v>#DIV/0!</v>
      </c>
      <c r="AC255" s="123"/>
    </row>
    <row r="256" spans="1:29" ht="12" customHeight="1">
      <c r="A256" s="11">
        <v>252</v>
      </c>
      <c r="B256" s="12" t="s">
        <v>495</v>
      </c>
      <c r="C256" s="17" t="s">
        <v>368</v>
      </c>
      <c r="D256" s="19" t="s">
        <v>496</v>
      </c>
      <c r="E256" s="17">
        <v>4</v>
      </c>
      <c r="F256" s="18" t="s">
        <v>530</v>
      </c>
      <c r="G256" s="319">
        <v>60.6</v>
      </c>
      <c r="H256" s="19" t="s">
        <v>513</v>
      </c>
      <c r="I256" s="20" t="s">
        <v>383</v>
      </c>
      <c r="J256" s="21" t="s">
        <v>219</v>
      </c>
      <c r="K256" s="12" t="s">
        <v>14</v>
      </c>
      <c r="L256" s="319">
        <f t="shared" si="37"/>
        <v>60.6</v>
      </c>
      <c r="M256" s="315">
        <v>5</v>
      </c>
      <c r="N256" s="79">
        <f>IF(K256="NV","",IF(VLOOKUP(M256,'R_Häufigkeit_Faktoren UHR'!$B$4:$I$24,7,FALSE)=0,"",VLOOKUP(M256,'R_Häufigkeit_Faktoren UHR'!$B$4:$I$24,7,FALSE)))</f>
        <v>20.917857142857144</v>
      </c>
      <c r="O256" s="3">
        <f t="shared" si="18"/>
        <v>1267.622142857143</v>
      </c>
      <c r="P256" s="325"/>
      <c r="Q256" s="156">
        <f>IF(N256="","",VLOOKUP(J256,Raumgruppen_Leistungswerte!$B$5:$F$35,5,FALSE))</f>
        <v>0</v>
      </c>
      <c r="R256" s="157" t="e">
        <f t="shared" si="19"/>
        <v>#DIV/0!</v>
      </c>
      <c r="S256" s="445" t="e">
        <f t="shared" si="20"/>
        <v>#DIV/0!</v>
      </c>
      <c r="T256" s="78" t="str">
        <f>IF(K256="NV","",IF(VLOOKUP(M256,'R_Häufigkeit_Faktoren UHR'!$B$4:$I$24,8,FALSE)=0,"",VLOOKUP(M256,'R_Häufigkeit_Faktoren UHR'!$B$4:$I$24,8,FALSE)))</f>
        <v/>
      </c>
      <c r="U256" s="156" t="str">
        <f t="shared" si="21"/>
        <v/>
      </c>
      <c r="V256" s="427"/>
      <c r="W256" s="12" t="str">
        <f>IF(T256="","",VLOOKUP(J256,Raumgruppen_Leistungswerte!$B$5:$F$35,5,FALSE))</f>
        <v/>
      </c>
      <c r="X256" s="156" t="str">
        <f t="shared" si="22"/>
        <v/>
      </c>
      <c r="Y256" s="446" t="str">
        <f t="shared" si="23"/>
        <v/>
      </c>
      <c r="Z256" s="158">
        <f t="shared" si="34"/>
        <v>1267.622142857143</v>
      </c>
      <c r="AA256" s="23" t="e">
        <f t="shared" si="35"/>
        <v>#DIV/0!</v>
      </c>
      <c r="AB256" s="445" t="e">
        <f t="shared" si="36"/>
        <v>#DIV/0!</v>
      </c>
      <c r="AC256" s="123"/>
    </row>
    <row r="257" spans="1:29" ht="12" customHeight="1">
      <c r="A257" s="11">
        <v>253</v>
      </c>
      <c r="B257" s="12" t="s">
        <v>495</v>
      </c>
      <c r="C257" s="17" t="s">
        <v>368</v>
      </c>
      <c r="D257" s="19" t="s">
        <v>496</v>
      </c>
      <c r="E257" s="17">
        <v>4</v>
      </c>
      <c r="F257" s="18" t="s">
        <v>531</v>
      </c>
      <c r="G257" s="319">
        <v>12.4</v>
      </c>
      <c r="H257" s="19" t="s">
        <v>532</v>
      </c>
      <c r="I257" s="20" t="s">
        <v>383</v>
      </c>
      <c r="J257" s="21" t="s">
        <v>251</v>
      </c>
      <c r="K257" s="12" t="s">
        <v>14</v>
      </c>
      <c r="L257" s="334">
        <f t="shared" si="37"/>
        <v>12.4</v>
      </c>
      <c r="M257" s="315">
        <v>1</v>
      </c>
      <c r="N257" s="79">
        <f>IF(K257="NV","",IF(VLOOKUP(M257,'R_Häufigkeit_Faktoren UHR'!$B$4:$I$24,7,FALSE)=0,"",VLOOKUP(M257,'R_Häufigkeit_Faktoren UHR'!$B$4:$I$24,7,FALSE)))</f>
        <v>4.3452380952380958</v>
      </c>
      <c r="O257" s="3">
        <f t="shared" si="18"/>
        <v>53.880952380952387</v>
      </c>
      <c r="P257" s="325"/>
      <c r="Q257" s="156">
        <f>IF(N257="","",VLOOKUP(J257,Raumgruppen_Leistungswerte!$B$5:$F$35,5,FALSE))</f>
        <v>0</v>
      </c>
      <c r="R257" s="157" t="e">
        <f t="shared" si="19"/>
        <v>#DIV/0!</v>
      </c>
      <c r="S257" s="445" t="e">
        <f t="shared" si="20"/>
        <v>#DIV/0!</v>
      </c>
      <c r="T257" s="78" t="str">
        <f>IF(K257="NV","",IF(VLOOKUP(M257,'R_Häufigkeit_Faktoren UHR'!$B$4:$I$24,8,FALSE)=0,"",VLOOKUP(M257,'R_Häufigkeit_Faktoren UHR'!$B$4:$I$24,8,FALSE)))</f>
        <v/>
      </c>
      <c r="U257" s="156" t="str">
        <f t="shared" si="21"/>
        <v/>
      </c>
      <c r="V257" s="427"/>
      <c r="W257" s="12" t="str">
        <f>IF(T257="","",VLOOKUP(J257,Raumgruppen_Leistungswerte!$B$5:$F$35,5,FALSE))</f>
        <v/>
      </c>
      <c r="X257" s="156" t="str">
        <f t="shared" si="22"/>
        <v/>
      </c>
      <c r="Y257" s="446" t="str">
        <f t="shared" si="23"/>
        <v/>
      </c>
      <c r="Z257" s="158">
        <f t="shared" si="34"/>
        <v>53.880952380952387</v>
      </c>
      <c r="AA257" s="23" t="e">
        <f t="shared" si="35"/>
        <v>#DIV/0!</v>
      </c>
      <c r="AB257" s="445" t="e">
        <f t="shared" si="36"/>
        <v>#DIV/0!</v>
      </c>
      <c r="AC257" s="123"/>
    </row>
    <row r="258" spans="1:29" ht="12" customHeight="1">
      <c r="A258" s="11">
        <v>254</v>
      </c>
      <c r="B258" s="12" t="s">
        <v>495</v>
      </c>
      <c r="C258" s="17" t="s">
        <v>368</v>
      </c>
      <c r="D258" s="19" t="s">
        <v>496</v>
      </c>
      <c r="E258" s="17">
        <v>4</v>
      </c>
      <c r="F258" s="18" t="s">
        <v>533</v>
      </c>
      <c r="G258" s="319">
        <v>13.5</v>
      </c>
      <c r="H258" s="19" t="s">
        <v>385</v>
      </c>
      <c r="I258" s="20" t="s">
        <v>406</v>
      </c>
      <c r="J258" s="21" t="s">
        <v>1</v>
      </c>
      <c r="K258" s="12" t="s">
        <v>14</v>
      </c>
      <c r="L258" s="319">
        <f t="shared" si="37"/>
        <v>13.5</v>
      </c>
      <c r="M258" s="315">
        <v>5</v>
      </c>
      <c r="N258" s="79">
        <f>IF(K258="NV","",IF(VLOOKUP(M258,'R_Häufigkeit_Faktoren UHR'!$B$4:$I$24,7,FALSE)=0,"",VLOOKUP(M258,'R_Häufigkeit_Faktoren UHR'!$B$4:$I$24,7,FALSE)))</f>
        <v>20.917857142857144</v>
      </c>
      <c r="O258" s="3">
        <f t="shared" si="18"/>
        <v>282.39107142857142</v>
      </c>
      <c r="P258" s="325"/>
      <c r="Q258" s="156">
        <f>IF(N258="","",VLOOKUP(J258,Raumgruppen_Leistungswerte!$B$5:$F$35,5,FALSE))</f>
        <v>0</v>
      </c>
      <c r="R258" s="157" t="e">
        <f t="shared" si="19"/>
        <v>#DIV/0!</v>
      </c>
      <c r="S258" s="445" t="e">
        <f t="shared" si="20"/>
        <v>#DIV/0!</v>
      </c>
      <c r="T258" s="78" t="str">
        <f>IF(K258="NV","",IF(VLOOKUP(M258,'R_Häufigkeit_Faktoren UHR'!$B$4:$I$24,8,FALSE)=0,"",VLOOKUP(M258,'R_Häufigkeit_Faktoren UHR'!$B$4:$I$24,8,FALSE)))</f>
        <v/>
      </c>
      <c r="U258" s="156" t="str">
        <f t="shared" si="21"/>
        <v/>
      </c>
      <c r="V258" s="427"/>
      <c r="W258" s="12" t="str">
        <f>IF(T258="","",VLOOKUP(J258,Raumgruppen_Leistungswerte!$B$5:$F$35,5,FALSE))</f>
        <v/>
      </c>
      <c r="X258" s="156" t="str">
        <f t="shared" si="22"/>
        <v/>
      </c>
      <c r="Y258" s="446" t="str">
        <f t="shared" si="23"/>
        <v/>
      </c>
      <c r="Z258" s="158">
        <f t="shared" si="34"/>
        <v>282.39107142857142</v>
      </c>
      <c r="AA258" s="23" t="e">
        <f t="shared" si="35"/>
        <v>#DIV/0!</v>
      </c>
      <c r="AB258" s="445" t="e">
        <f t="shared" si="36"/>
        <v>#DIV/0!</v>
      </c>
      <c r="AC258" s="123"/>
    </row>
    <row r="259" spans="1:29" ht="12" customHeight="1">
      <c r="A259" s="11">
        <v>255</v>
      </c>
      <c r="B259" s="12" t="s">
        <v>495</v>
      </c>
      <c r="C259" s="17" t="s">
        <v>368</v>
      </c>
      <c r="D259" s="19" t="s">
        <v>496</v>
      </c>
      <c r="E259" s="17">
        <v>4</v>
      </c>
      <c r="F259" s="18" t="s">
        <v>534</v>
      </c>
      <c r="G259" s="319">
        <v>6</v>
      </c>
      <c r="H259" s="19" t="s">
        <v>425</v>
      </c>
      <c r="I259" s="14" t="s">
        <v>406</v>
      </c>
      <c r="J259" s="21" t="s">
        <v>1</v>
      </c>
      <c r="K259" s="12" t="s">
        <v>14</v>
      </c>
      <c r="L259" s="319">
        <f t="shared" si="37"/>
        <v>6</v>
      </c>
      <c r="M259" s="315">
        <v>5</v>
      </c>
      <c r="N259" s="79">
        <f>IF(K259="NV","",IF(VLOOKUP(M259,'R_Häufigkeit_Faktoren UHR'!$B$4:$I$24,7,FALSE)=0,"",VLOOKUP(M259,'R_Häufigkeit_Faktoren UHR'!$B$4:$I$24,7,FALSE)))</f>
        <v>20.917857142857144</v>
      </c>
      <c r="O259" s="3">
        <f t="shared" si="18"/>
        <v>125.50714285714287</v>
      </c>
      <c r="P259" s="325"/>
      <c r="Q259" s="156">
        <f>IF(N259="","",VLOOKUP(J259,Raumgruppen_Leistungswerte!$B$5:$F$35,5,FALSE))</f>
        <v>0</v>
      </c>
      <c r="R259" s="157" t="e">
        <f t="shared" si="19"/>
        <v>#DIV/0!</v>
      </c>
      <c r="S259" s="445" t="e">
        <f t="shared" si="20"/>
        <v>#DIV/0!</v>
      </c>
      <c r="T259" s="78" t="str">
        <f>IF(K259="NV","",IF(VLOOKUP(M259,'R_Häufigkeit_Faktoren UHR'!$B$4:$I$24,8,FALSE)=0,"",VLOOKUP(M259,'R_Häufigkeit_Faktoren UHR'!$B$4:$I$24,8,FALSE)))</f>
        <v/>
      </c>
      <c r="U259" s="156" t="str">
        <f t="shared" si="21"/>
        <v/>
      </c>
      <c r="V259" s="427"/>
      <c r="W259" s="12" t="str">
        <f>IF(T259="","",VLOOKUP(J259,Raumgruppen_Leistungswerte!$B$5:$F$35,5,FALSE))</f>
        <v/>
      </c>
      <c r="X259" s="156" t="str">
        <f t="shared" si="22"/>
        <v/>
      </c>
      <c r="Y259" s="446" t="str">
        <f t="shared" si="23"/>
        <v/>
      </c>
      <c r="Z259" s="158">
        <f t="shared" si="34"/>
        <v>125.50714285714287</v>
      </c>
      <c r="AA259" s="23" t="e">
        <f t="shared" si="35"/>
        <v>#DIV/0!</v>
      </c>
      <c r="AB259" s="445" t="e">
        <f t="shared" si="36"/>
        <v>#DIV/0!</v>
      </c>
      <c r="AC259" s="123"/>
    </row>
    <row r="260" spans="1:29" ht="12" customHeight="1">
      <c r="A260" s="11">
        <v>256</v>
      </c>
      <c r="B260" s="12" t="s">
        <v>495</v>
      </c>
      <c r="C260" s="17" t="s">
        <v>368</v>
      </c>
      <c r="D260" s="19" t="s">
        <v>496</v>
      </c>
      <c r="E260" s="17">
        <v>4</v>
      </c>
      <c r="F260" s="18" t="s">
        <v>535</v>
      </c>
      <c r="G260" s="319">
        <v>18.100000000000001</v>
      </c>
      <c r="H260" s="19" t="s">
        <v>387</v>
      </c>
      <c r="I260" s="20" t="s">
        <v>406</v>
      </c>
      <c r="J260" s="21" t="s">
        <v>1</v>
      </c>
      <c r="K260" s="12" t="s">
        <v>14</v>
      </c>
      <c r="L260" s="319">
        <f t="shared" si="37"/>
        <v>18.100000000000001</v>
      </c>
      <c r="M260" s="315">
        <v>5</v>
      </c>
      <c r="N260" s="79">
        <f>IF(K260="NV","",IF(VLOOKUP(M260,'R_Häufigkeit_Faktoren UHR'!$B$4:$I$24,7,FALSE)=0,"",VLOOKUP(M260,'R_Häufigkeit_Faktoren UHR'!$B$4:$I$24,7,FALSE)))</f>
        <v>20.917857142857144</v>
      </c>
      <c r="O260" s="3">
        <f t="shared" si="18"/>
        <v>378.61321428571432</v>
      </c>
      <c r="P260" s="325"/>
      <c r="Q260" s="156">
        <f>IF(N260="","",VLOOKUP(J260,Raumgruppen_Leistungswerte!$B$5:$F$35,5,FALSE))</f>
        <v>0</v>
      </c>
      <c r="R260" s="157" t="e">
        <f t="shared" si="19"/>
        <v>#DIV/0!</v>
      </c>
      <c r="S260" s="445" t="e">
        <f t="shared" si="20"/>
        <v>#DIV/0!</v>
      </c>
      <c r="T260" s="78" t="str">
        <f>IF(K260="NV","",IF(VLOOKUP(M260,'R_Häufigkeit_Faktoren UHR'!$B$4:$I$24,8,FALSE)=0,"",VLOOKUP(M260,'R_Häufigkeit_Faktoren UHR'!$B$4:$I$24,8,FALSE)))</f>
        <v/>
      </c>
      <c r="U260" s="156" t="str">
        <f t="shared" si="21"/>
        <v/>
      </c>
      <c r="V260" s="427"/>
      <c r="W260" s="12" t="str">
        <f>IF(T260="","",VLOOKUP(J260,Raumgruppen_Leistungswerte!$B$5:$F$35,5,FALSE))</f>
        <v/>
      </c>
      <c r="X260" s="156" t="str">
        <f t="shared" si="22"/>
        <v/>
      </c>
      <c r="Y260" s="446" t="str">
        <f t="shared" si="23"/>
        <v/>
      </c>
      <c r="Z260" s="158">
        <f t="shared" si="34"/>
        <v>378.61321428571432</v>
      </c>
      <c r="AA260" s="23" t="e">
        <f t="shared" si="35"/>
        <v>#DIV/0!</v>
      </c>
      <c r="AB260" s="445" t="e">
        <f t="shared" si="36"/>
        <v>#DIV/0!</v>
      </c>
      <c r="AC260" s="123"/>
    </row>
    <row r="261" spans="1:29" ht="12" customHeight="1">
      <c r="A261" s="11">
        <v>257</v>
      </c>
      <c r="B261" s="12" t="s">
        <v>495</v>
      </c>
      <c r="C261" s="17" t="s">
        <v>368</v>
      </c>
      <c r="D261" s="19" t="s">
        <v>496</v>
      </c>
      <c r="E261" s="17">
        <v>4</v>
      </c>
      <c r="F261" s="18" t="s">
        <v>536</v>
      </c>
      <c r="G261" s="319">
        <v>29.9</v>
      </c>
      <c r="H261" s="19" t="s">
        <v>537</v>
      </c>
      <c r="I261" s="20" t="s">
        <v>383</v>
      </c>
      <c r="J261" s="21" t="s">
        <v>219</v>
      </c>
      <c r="K261" s="12" t="s">
        <v>14</v>
      </c>
      <c r="L261" s="319">
        <f t="shared" si="37"/>
        <v>29.9</v>
      </c>
      <c r="M261" s="315">
        <v>5</v>
      </c>
      <c r="N261" s="79">
        <f>IF(K261="NV","",IF(VLOOKUP(M261,'R_Häufigkeit_Faktoren UHR'!$B$4:$I$24,7,FALSE)=0,"",VLOOKUP(M261,'R_Häufigkeit_Faktoren UHR'!$B$4:$I$24,7,FALSE)))</f>
        <v>20.917857142857144</v>
      </c>
      <c r="O261" s="3">
        <f t="shared" si="18"/>
        <v>625.44392857142861</v>
      </c>
      <c r="P261" s="325"/>
      <c r="Q261" s="156">
        <f>IF(N261="","",VLOOKUP(J261,Raumgruppen_Leistungswerte!$B$5:$F$35,5,FALSE))</f>
        <v>0</v>
      </c>
      <c r="R261" s="157" t="e">
        <f t="shared" si="19"/>
        <v>#DIV/0!</v>
      </c>
      <c r="S261" s="445" t="e">
        <f t="shared" si="20"/>
        <v>#DIV/0!</v>
      </c>
      <c r="T261" s="78" t="str">
        <f>IF(K261="NV","",IF(VLOOKUP(M261,'R_Häufigkeit_Faktoren UHR'!$B$4:$I$24,8,FALSE)=0,"",VLOOKUP(M261,'R_Häufigkeit_Faktoren UHR'!$B$4:$I$24,8,FALSE)))</f>
        <v/>
      </c>
      <c r="U261" s="156" t="str">
        <f t="shared" si="21"/>
        <v/>
      </c>
      <c r="V261" s="427"/>
      <c r="W261" s="12" t="str">
        <f>IF(T261="","",VLOOKUP(J261,Raumgruppen_Leistungswerte!$B$5:$F$35,5,FALSE))</f>
        <v/>
      </c>
      <c r="X261" s="156" t="str">
        <f t="shared" si="22"/>
        <v/>
      </c>
      <c r="Y261" s="446" t="str">
        <f t="shared" si="23"/>
        <v/>
      </c>
      <c r="Z261" s="158">
        <f t="shared" si="34"/>
        <v>625.44392857142861</v>
      </c>
      <c r="AA261" s="23" t="e">
        <f t="shared" si="35"/>
        <v>#DIV/0!</v>
      </c>
      <c r="AB261" s="445" t="e">
        <f t="shared" si="36"/>
        <v>#DIV/0!</v>
      </c>
      <c r="AC261" s="123"/>
    </row>
    <row r="262" spans="1:29" ht="12" customHeight="1">
      <c r="A262" s="11">
        <v>258</v>
      </c>
      <c r="B262" s="12" t="s">
        <v>495</v>
      </c>
      <c r="C262" s="17">
        <v>1</v>
      </c>
      <c r="D262" s="19" t="s">
        <v>496</v>
      </c>
      <c r="E262" s="17">
        <v>4</v>
      </c>
      <c r="F262" s="316" t="s">
        <v>527</v>
      </c>
      <c r="G262" s="319">
        <v>39.299999999999997</v>
      </c>
      <c r="H262" s="317" t="s">
        <v>13</v>
      </c>
      <c r="I262" s="20" t="s">
        <v>383</v>
      </c>
      <c r="J262" s="15" t="s">
        <v>238</v>
      </c>
      <c r="K262" s="12" t="s">
        <v>14</v>
      </c>
      <c r="L262" s="319">
        <f t="shared" si="37"/>
        <v>39.299999999999997</v>
      </c>
      <c r="M262" s="22">
        <v>5</v>
      </c>
      <c r="N262" s="79">
        <f>IF(K262="NV","",IF(VLOOKUP(M262,'R_Häufigkeit_Faktoren UHR'!$B$4:$I$24,7,FALSE)=0,"",VLOOKUP(M262,'R_Häufigkeit_Faktoren UHR'!$B$4:$I$24,7,FALSE)))</f>
        <v>20.917857142857144</v>
      </c>
      <c r="O262" s="3">
        <f t="shared" si="18"/>
        <v>822.07178571428574</v>
      </c>
      <c r="P262" s="325"/>
      <c r="Q262" s="156">
        <f>IF(N262="","",VLOOKUP(J262,Raumgruppen_Leistungswerte!$B$5:$F$35,5,FALSE))</f>
        <v>0</v>
      </c>
      <c r="R262" s="157" t="e">
        <f t="shared" si="19"/>
        <v>#DIV/0!</v>
      </c>
      <c r="S262" s="445" t="e">
        <f t="shared" si="20"/>
        <v>#DIV/0!</v>
      </c>
      <c r="T262" s="78" t="str">
        <f>IF(K262="NV","",IF(VLOOKUP(M262,'R_Häufigkeit_Faktoren UHR'!$B$4:$I$24,8,FALSE)=0,"",VLOOKUP(M262,'R_Häufigkeit_Faktoren UHR'!$B$4:$I$24,8,FALSE)))</f>
        <v/>
      </c>
      <c r="U262" s="156" t="str">
        <f t="shared" si="21"/>
        <v/>
      </c>
      <c r="V262" s="427"/>
      <c r="W262" s="12" t="str">
        <f>IF(T262="","",VLOOKUP(J262,Raumgruppen_Leistungswerte!$B$5:$F$35,5,FALSE))</f>
        <v/>
      </c>
      <c r="X262" s="156" t="str">
        <f t="shared" si="22"/>
        <v/>
      </c>
      <c r="Y262" s="446" t="str">
        <f t="shared" si="23"/>
        <v/>
      </c>
      <c r="Z262" s="158">
        <f t="shared" si="34"/>
        <v>822.07178571428574</v>
      </c>
      <c r="AA262" s="23" t="e">
        <f t="shared" si="35"/>
        <v>#DIV/0!</v>
      </c>
      <c r="AB262" s="445" t="e">
        <f t="shared" si="36"/>
        <v>#DIV/0!</v>
      </c>
      <c r="AC262" s="123"/>
    </row>
    <row r="263" spans="1:29" ht="12" customHeight="1">
      <c r="A263" s="11">
        <v>259</v>
      </c>
      <c r="B263" s="12" t="s">
        <v>495</v>
      </c>
      <c r="C263" s="17">
        <v>1</v>
      </c>
      <c r="D263" s="19" t="s">
        <v>496</v>
      </c>
      <c r="E263" s="17">
        <v>4</v>
      </c>
      <c r="F263" s="316" t="s">
        <v>500</v>
      </c>
      <c r="G263" s="319">
        <v>10.6</v>
      </c>
      <c r="H263" s="317" t="s">
        <v>387</v>
      </c>
      <c r="I263" s="14" t="s">
        <v>406</v>
      </c>
      <c r="J263" s="21" t="s">
        <v>1</v>
      </c>
      <c r="K263" s="12" t="s">
        <v>14</v>
      </c>
      <c r="L263" s="319">
        <f t="shared" si="37"/>
        <v>10.6</v>
      </c>
      <c r="M263" s="22">
        <v>5</v>
      </c>
      <c r="N263" s="79">
        <f>IF(K263="NV","",IF(VLOOKUP(M263,'R_Häufigkeit_Faktoren UHR'!$B$4:$I$24,7,FALSE)=0,"",VLOOKUP(M263,'R_Häufigkeit_Faktoren UHR'!$B$4:$I$24,7,FALSE)))</f>
        <v>20.917857142857144</v>
      </c>
      <c r="O263" s="3">
        <f t="shared" si="18"/>
        <v>221.72928571428574</v>
      </c>
      <c r="P263" s="325"/>
      <c r="Q263" s="156">
        <f>IF(N263="","",VLOOKUP(J263,Raumgruppen_Leistungswerte!$B$5:$F$35,5,FALSE))</f>
        <v>0</v>
      </c>
      <c r="R263" s="157" t="e">
        <f t="shared" si="19"/>
        <v>#DIV/0!</v>
      </c>
      <c r="S263" s="445" t="e">
        <f t="shared" si="20"/>
        <v>#DIV/0!</v>
      </c>
      <c r="T263" s="78" t="str">
        <f>IF(K263="NV","",IF(VLOOKUP(M263,'R_Häufigkeit_Faktoren UHR'!$B$4:$I$24,8,FALSE)=0,"",VLOOKUP(M263,'R_Häufigkeit_Faktoren UHR'!$B$4:$I$24,8,FALSE)))</f>
        <v/>
      </c>
      <c r="U263" s="156" t="str">
        <f t="shared" si="21"/>
        <v/>
      </c>
      <c r="V263" s="427"/>
      <c r="W263" s="12" t="str">
        <f>IF(T263="","",VLOOKUP(J263,Raumgruppen_Leistungswerte!$B$5:$F$35,5,FALSE))</f>
        <v/>
      </c>
      <c r="X263" s="156" t="str">
        <f t="shared" si="22"/>
        <v/>
      </c>
      <c r="Y263" s="446" t="str">
        <f t="shared" si="23"/>
        <v/>
      </c>
      <c r="Z263" s="158">
        <f t="shared" si="34"/>
        <v>221.72928571428574</v>
      </c>
      <c r="AA263" s="23" t="e">
        <f t="shared" si="35"/>
        <v>#DIV/0!</v>
      </c>
      <c r="AB263" s="445" t="e">
        <f t="shared" si="36"/>
        <v>#DIV/0!</v>
      </c>
      <c r="AC263" s="123"/>
    </row>
    <row r="264" spans="1:29" ht="12" customHeight="1">
      <c r="A264" s="11">
        <v>260</v>
      </c>
      <c r="B264" s="12" t="s">
        <v>495</v>
      </c>
      <c r="C264" s="17">
        <v>1</v>
      </c>
      <c r="D264" s="19" t="s">
        <v>496</v>
      </c>
      <c r="E264" s="17">
        <v>4</v>
      </c>
      <c r="F264" s="316" t="s">
        <v>499</v>
      </c>
      <c r="G264" s="319">
        <v>10.8</v>
      </c>
      <c r="H264" s="317" t="s">
        <v>385</v>
      </c>
      <c r="I264" s="14" t="s">
        <v>406</v>
      </c>
      <c r="J264" s="21" t="s">
        <v>1</v>
      </c>
      <c r="K264" s="12" t="s">
        <v>14</v>
      </c>
      <c r="L264" s="319">
        <f t="shared" si="37"/>
        <v>10.8</v>
      </c>
      <c r="M264" s="22">
        <v>5</v>
      </c>
      <c r="N264" s="79">
        <f>IF(K264="NV","",IF(VLOOKUP(M264,'R_Häufigkeit_Faktoren UHR'!$B$4:$I$24,7,FALSE)=0,"",VLOOKUP(M264,'R_Häufigkeit_Faktoren UHR'!$B$4:$I$24,7,FALSE)))</f>
        <v>20.917857142857144</v>
      </c>
      <c r="O264" s="3">
        <f t="shared" si="18"/>
        <v>225.91285714285718</v>
      </c>
      <c r="P264" s="325"/>
      <c r="Q264" s="156">
        <f>IF(N264="","",VLOOKUP(J264,Raumgruppen_Leistungswerte!$B$5:$F$35,5,FALSE))</f>
        <v>0</v>
      </c>
      <c r="R264" s="157" t="e">
        <f t="shared" si="19"/>
        <v>#DIV/0!</v>
      </c>
      <c r="S264" s="445" t="e">
        <f t="shared" si="20"/>
        <v>#DIV/0!</v>
      </c>
      <c r="T264" s="78" t="str">
        <f>IF(K264="NV","",IF(VLOOKUP(M264,'R_Häufigkeit_Faktoren UHR'!$B$4:$I$24,8,FALSE)=0,"",VLOOKUP(M264,'R_Häufigkeit_Faktoren UHR'!$B$4:$I$24,8,FALSE)))</f>
        <v/>
      </c>
      <c r="U264" s="156" t="str">
        <f t="shared" si="21"/>
        <v/>
      </c>
      <c r="V264" s="427"/>
      <c r="W264" s="12" t="str">
        <f>IF(T264="","",VLOOKUP(J264,Raumgruppen_Leistungswerte!$B$5:$F$35,5,FALSE))</f>
        <v/>
      </c>
      <c r="X264" s="156" t="str">
        <f t="shared" si="22"/>
        <v/>
      </c>
      <c r="Y264" s="446" t="str">
        <f t="shared" si="23"/>
        <v/>
      </c>
      <c r="Z264" s="158">
        <f t="shared" si="34"/>
        <v>225.91285714285718</v>
      </c>
      <c r="AA264" s="23" t="e">
        <f t="shared" si="35"/>
        <v>#DIV/0!</v>
      </c>
      <c r="AB264" s="445" t="e">
        <f t="shared" si="36"/>
        <v>#DIV/0!</v>
      </c>
      <c r="AC264" s="123"/>
    </row>
    <row r="265" spans="1:29" ht="12" customHeight="1">
      <c r="A265" s="11">
        <v>261</v>
      </c>
      <c r="B265" s="12" t="s">
        <v>495</v>
      </c>
      <c r="C265" s="17">
        <v>1</v>
      </c>
      <c r="D265" s="19" t="s">
        <v>496</v>
      </c>
      <c r="E265" s="17">
        <v>4</v>
      </c>
      <c r="F265" s="316" t="s">
        <v>501</v>
      </c>
      <c r="G265" s="319">
        <v>11.5</v>
      </c>
      <c r="H265" s="317" t="s">
        <v>408</v>
      </c>
      <c r="I265" s="14" t="s">
        <v>406</v>
      </c>
      <c r="J265" s="21" t="s">
        <v>251</v>
      </c>
      <c r="K265" s="12" t="s">
        <v>14</v>
      </c>
      <c r="L265" s="334">
        <f t="shared" si="37"/>
        <v>11.5</v>
      </c>
      <c r="M265" s="22">
        <v>1</v>
      </c>
      <c r="N265" s="79">
        <f>IF(K265="NV","",IF(VLOOKUP(M265,'R_Häufigkeit_Faktoren UHR'!$B$4:$I$24,7,FALSE)=0,"",VLOOKUP(M265,'R_Häufigkeit_Faktoren UHR'!$B$4:$I$24,7,FALSE)))</f>
        <v>4.3452380952380958</v>
      </c>
      <c r="O265" s="3">
        <f t="shared" si="18"/>
        <v>49.970238095238102</v>
      </c>
      <c r="P265" s="325"/>
      <c r="Q265" s="156">
        <f>IF(N265="","",VLOOKUP(J265,Raumgruppen_Leistungswerte!$B$5:$F$35,5,FALSE))</f>
        <v>0</v>
      </c>
      <c r="R265" s="157" t="e">
        <f t="shared" si="19"/>
        <v>#DIV/0!</v>
      </c>
      <c r="S265" s="445" t="e">
        <f t="shared" si="20"/>
        <v>#DIV/0!</v>
      </c>
      <c r="T265" s="78" t="str">
        <f>IF(K265="NV","",IF(VLOOKUP(M265,'R_Häufigkeit_Faktoren UHR'!$B$4:$I$24,8,FALSE)=0,"",VLOOKUP(M265,'R_Häufigkeit_Faktoren UHR'!$B$4:$I$24,8,FALSE)))</f>
        <v/>
      </c>
      <c r="U265" s="156" t="str">
        <f t="shared" si="21"/>
        <v/>
      </c>
      <c r="V265" s="427"/>
      <c r="W265" s="12" t="str">
        <f>IF(T265="","",VLOOKUP(J265,Raumgruppen_Leistungswerte!$B$5:$F$35,5,FALSE))</f>
        <v/>
      </c>
      <c r="X265" s="156" t="str">
        <f t="shared" si="22"/>
        <v/>
      </c>
      <c r="Y265" s="446" t="str">
        <f t="shared" si="23"/>
        <v/>
      </c>
      <c r="Z265" s="158">
        <f t="shared" si="34"/>
        <v>49.970238095238102</v>
      </c>
      <c r="AA265" s="23" t="e">
        <f t="shared" si="35"/>
        <v>#DIV/0!</v>
      </c>
      <c r="AB265" s="445" t="e">
        <f t="shared" si="36"/>
        <v>#DIV/0!</v>
      </c>
      <c r="AC265" s="123"/>
    </row>
    <row r="266" spans="1:29" ht="12" customHeight="1">
      <c r="A266" s="11">
        <v>262</v>
      </c>
      <c r="B266" s="12" t="s">
        <v>495</v>
      </c>
      <c r="C266" s="17">
        <v>1</v>
      </c>
      <c r="D266" s="19" t="s">
        <v>496</v>
      </c>
      <c r="E266" s="17">
        <v>4</v>
      </c>
      <c r="F266" s="316" t="s">
        <v>538</v>
      </c>
      <c r="G266" s="319">
        <v>23.9</v>
      </c>
      <c r="H266" s="317" t="s">
        <v>532</v>
      </c>
      <c r="I266" s="20" t="s">
        <v>383</v>
      </c>
      <c r="J266" s="21" t="s">
        <v>251</v>
      </c>
      <c r="K266" s="12" t="s">
        <v>14</v>
      </c>
      <c r="L266" s="334">
        <f t="shared" si="37"/>
        <v>23.9</v>
      </c>
      <c r="M266" s="22">
        <v>1</v>
      </c>
      <c r="N266" s="79">
        <f>IF(K266="NV","",IF(VLOOKUP(M266,'R_Häufigkeit_Faktoren UHR'!$B$4:$I$24,7,FALSE)=0,"",VLOOKUP(M266,'R_Häufigkeit_Faktoren UHR'!$B$4:$I$24,7,FALSE)))</f>
        <v>4.3452380952380958</v>
      </c>
      <c r="O266" s="3">
        <f t="shared" si="18"/>
        <v>103.85119047619048</v>
      </c>
      <c r="P266" s="325"/>
      <c r="Q266" s="156">
        <f>IF(N266="","",VLOOKUP(J266,Raumgruppen_Leistungswerte!$B$5:$F$35,5,FALSE))</f>
        <v>0</v>
      </c>
      <c r="R266" s="157" t="e">
        <f t="shared" si="19"/>
        <v>#DIV/0!</v>
      </c>
      <c r="S266" s="445" t="e">
        <f t="shared" si="20"/>
        <v>#DIV/0!</v>
      </c>
      <c r="T266" s="78" t="str">
        <f>IF(K266="NV","",IF(VLOOKUP(M266,'R_Häufigkeit_Faktoren UHR'!$B$4:$I$24,8,FALSE)=0,"",VLOOKUP(M266,'R_Häufigkeit_Faktoren UHR'!$B$4:$I$24,8,FALSE)))</f>
        <v/>
      </c>
      <c r="U266" s="156" t="str">
        <f t="shared" si="21"/>
        <v/>
      </c>
      <c r="V266" s="427"/>
      <c r="W266" s="12" t="str">
        <f>IF(T266="","",VLOOKUP(J266,Raumgruppen_Leistungswerte!$B$5:$F$35,5,FALSE))</f>
        <v/>
      </c>
      <c r="X266" s="156" t="str">
        <f t="shared" si="22"/>
        <v/>
      </c>
      <c r="Y266" s="446" t="str">
        <f t="shared" si="23"/>
        <v/>
      </c>
      <c r="Z266" s="158">
        <f t="shared" si="34"/>
        <v>103.85119047619048</v>
      </c>
      <c r="AA266" s="23" t="e">
        <f t="shared" si="35"/>
        <v>#DIV/0!</v>
      </c>
      <c r="AB266" s="445" t="e">
        <f t="shared" si="36"/>
        <v>#DIV/0!</v>
      </c>
      <c r="AC266" s="123"/>
    </row>
    <row r="267" spans="1:29" ht="12" customHeight="1">
      <c r="A267" s="11">
        <v>263</v>
      </c>
      <c r="B267" s="12" t="s">
        <v>495</v>
      </c>
      <c r="C267" s="17">
        <v>1</v>
      </c>
      <c r="D267" s="19" t="s">
        <v>496</v>
      </c>
      <c r="E267" s="17">
        <v>4</v>
      </c>
      <c r="F267" s="316" t="s">
        <v>539</v>
      </c>
      <c r="G267" s="319">
        <v>12.4</v>
      </c>
      <c r="H267" s="317" t="s">
        <v>494</v>
      </c>
      <c r="I267" s="20" t="s">
        <v>383</v>
      </c>
      <c r="J267" s="21" t="s">
        <v>251</v>
      </c>
      <c r="K267" s="12" t="s">
        <v>14</v>
      </c>
      <c r="L267" s="334">
        <f t="shared" si="37"/>
        <v>12.4</v>
      </c>
      <c r="M267" s="22">
        <v>1</v>
      </c>
      <c r="N267" s="79">
        <f>IF(K267="NV","",IF(VLOOKUP(M267,'R_Häufigkeit_Faktoren UHR'!$B$4:$I$24,7,FALSE)=0,"",VLOOKUP(M267,'R_Häufigkeit_Faktoren UHR'!$B$4:$I$24,7,FALSE)))</f>
        <v>4.3452380952380958</v>
      </c>
      <c r="O267" s="3">
        <f t="shared" si="18"/>
        <v>53.880952380952387</v>
      </c>
      <c r="P267" s="325"/>
      <c r="Q267" s="156">
        <f>IF(N267="","",VLOOKUP(J267,Raumgruppen_Leistungswerte!$B$5:$F$35,5,FALSE))</f>
        <v>0</v>
      </c>
      <c r="R267" s="157" t="e">
        <f t="shared" si="19"/>
        <v>#DIV/0!</v>
      </c>
      <c r="S267" s="445" t="e">
        <f t="shared" si="20"/>
        <v>#DIV/0!</v>
      </c>
      <c r="T267" s="78" t="str">
        <f>IF(K267="NV","",IF(VLOOKUP(M267,'R_Häufigkeit_Faktoren UHR'!$B$4:$I$24,8,FALSE)=0,"",VLOOKUP(M267,'R_Häufigkeit_Faktoren UHR'!$B$4:$I$24,8,FALSE)))</f>
        <v/>
      </c>
      <c r="U267" s="156" t="str">
        <f t="shared" si="21"/>
        <v/>
      </c>
      <c r="V267" s="427"/>
      <c r="W267" s="12" t="str">
        <f>IF(T267="","",VLOOKUP(J267,Raumgruppen_Leistungswerte!$B$5:$F$35,5,FALSE))</f>
        <v/>
      </c>
      <c r="X267" s="156" t="str">
        <f t="shared" si="22"/>
        <v/>
      </c>
      <c r="Y267" s="446" t="str">
        <f t="shared" si="23"/>
        <v/>
      </c>
      <c r="Z267" s="158">
        <f t="shared" si="34"/>
        <v>53.880952380952387</v>
      </c>
      <c r="AA267" s="23" t="e">
        <f t="shared" si="35"/>
        <v>#DIV/0!</v>
      </c>
      <c r="AB267" s="445" t="e">
        <f t="shared" si="36"/>
        <v>#DIV/0!</v>
      </c>
      <c r="AC267" s="123"/>
    </row>
    <row r="268" spans="1:29" ht="12" customHeight="1">
      <c r="A268" s="11">
        <v>264</v>
      </c>
      <c r="B268" s="12" t="s">
        <v>495</v>
      </c>
      <c r="C268" s="17">
        <v>1</v>
      </c>
      <c r="D268" s="19" t="s">
        <v>496</v>
      </c>
      <c r="E268" s="17">
        <v>4</v>
      </c>
      <c r="F268" s="316" t="s">
        <v>540</v>
      </c>
      <c r="G268" s="319">
        <v>30.7</v>
      </c>
      <c r="H268" s="317" t="s">
        <v>480</v>
      </c>
      <c r="I268" s="14" t="s">
        <v>371</v>
      </c>
      <c r="J268" s="15" t="s">
        <v>219</v>
      </c>
      <c r="K268" s="12" t="s">
        <v>14</v>
      </c>
      <c r="L268" s="319">
        <f t="shared" si="37"/>
        <v>30.7</v>
      </c>
      <c r="M268" s="22">
        <v>3</v>
      </c>
      <c r="N268" s="79">
        <f>IF(K268="NV","",IF(VLOOKUP(M268,'R_Häufigkeit_Faktoren UHR'!$B$4:$I$24,7,FALSE)=0,"",VLOOKUP(M268,'R_Häufigkeit_Faktoren UHR'!$B$4:$I$24,7,FALSE)))</f>
        <v>13.035714285714286</v>
      </c>
      <c r="O268" s="3">
        <f t="shared" si="18"/>
        <v>400.19642857142861</v>
      </c>
      <c r="P268" s="325"/>
      <c r="Q268" s="156">
        <f>IF(N268="","",VLOOKUP(J268,Raumgruppen_Leistungswerte!$B$5:$F$35,5,FALSE))</f>
        <v>0</v>
      </c>
      <c r="R268" s="157" t="e">
        <f t="shared" si="19"/>
        <v>#DIV/0!</v>
      </c>
      <c r="S268" s="445" t="e">
        <f t="shared" si="20"/>
        <v>#DIV/0!</v>
      </c>
      <c r="T268" s="78" t="str">
        <f>IF(K268="NV","",IF(VLOOKUP(M268,'R_Häufigkeit_Faktoren UHR'!$B$4:$I$24,8,FALSE)=0,"",VLOOKUP(M268,'R_Häufigkeit_Faktoren UHR'!$B$4:$I$24,8,FALSE)))</f>
        <v/>
      </c>
      <c r="U268" s="156" t="str">
        <f t="shared" si="21"/>
        <v/>
      </c>
      <c r="V268" s="427"/>
      <c r="W268" s="12" t="str">
        <f>IF(T268="","",VLOOKUP(J268,Raumgruppen_Leistungswerte!$B$5:$F$35,5,FALSE))</f>
        <v/>
      </c>
      <c r="X268" s="156" t="str">
        <f t="shared" si="22"/>
        <v/>
      </c>
      <c r="Y268" s="446" t="str">
        <f t="shared" si="23"/>
        <v/>
      </c>
      <c r="Z268" s="158">
        <f t="shared" si="34"/>
        <v>400.19642857142861</v>
      </c>
      <c r="AA268" s="23" t="e">
        <f t="shared" si="35"/>
        <v>#DIV/0!</v>
      </c>
      <c r="AB268" s="445" t="e">
        <f t="shared" si="36"/>
        <v>#DIV/0!</v>
      </c>
      <c r="AC268" s="123"/>
    </row>
    <row r="269" spans="1:29" ht="12" customHeight="1">
      <c r="A269" s="11">
        <v>265</v>
      </c>
      <c r="B269" s="12" t="s">
        <v>495</v>
      </c>
      <c r="C269" s="17">
        <v>1</v>
      </c>
      <c r="D269" s="19" t="s">
        <v>496</v>
      </c>
      <c r="E269" s="17">
        <v>4</v>
      </c>
      <c r="F269" s="316" t="s">
        <v>541</v>
      </c>
      <c r="G269" s="319">
        <v>16.600000000000001</v>
      </c>
      <c r="H269" s="317" t="s">
        <v>410</v>
      </c>
      <c r="I269" s="20" t="s">
        <v>371</v>
      </c>
      <c r="J269" s="21" t="s">
        <v>176</v>
      </c>
      <c r="K269" s="12" t="s">
        <v>14</v>
      </c>
      <c r="L269" s="319">
        <f t="shared" si="37"/>
        <v>16.600000000000001</v>
      </c>
      <c r="M269" s="22">
        <v>1</v>
      </c>
      <c r="N269" s="79">
        <f>IF(K269="NV","",IF(VLOOKUP(M269,'R_Häufigkeit_Faktoren UHR'!$B$4:$I$24,7,FALSE)=0,"",VLOOKUP(M269,'R_Häufigkeit_Faktoren UHR'!$B$4:$I$24,7,FALSE)))</f>
        <v>4.3452380952380958</v>
      </c>
      <c r="O269" s="3">
        <f t="shared" si="18"/>
        <v>72.130952380952394</v>
      </c>
      <c r="P269" s="325"/>
      <c r="Q269" s="156">
        <f>IF(N269="","",VLOOKUP(J269,Raumgruppen_Leistungswerte!$B$5:$F$35,5,FALSE))</f>
        <v>0</v>
      </c>
      <c r="R269" s="157" t="e">
        <f t="shared" si="19"/>
        <v>#DIV/0!</v>
      </c>
      <c r="S269" s="445" t="e">
        <f t="shared" si="20"/>
        <v>#DIV/0!</v>
      </c>
      <c r="T269" s="78" t="str">
        <f>IF(K269="NV","",IF(VLOOKUP(M269,'R_Häufigkeit_Faktoren UHR'!$B$4:$I$24,8,FALSE)=0,"",VLOOKUP(M269,'R_Häufigkeit_Faktoren UHR'!$B$4:$I$24,8,FALSE)))</f>
        <v/>
      </c>
      <c r="U269" s="156" t="str">
        <f t="shared" si="21"/>
        <v/>
      </c>
      <c r="V269" s="427"/>
      <c r="W269" s="12" t="str">
        <f>IF(T269="","",VLOOKUP(J269,Raumgruppen_Leistungswerte!$B$5:$F$35,5,FALSE))</f>
        <v/>
      </c>
      <c r="X269" s="156" t="str">
        <f t="shared" si="22"/>
        <v/>
      </c>
      <c r="Y269" s="446" t="str">
        <f t="shared" si="23"/>
        <v/>
      </c>
      <c r="Z269" s="158">
        <f t="shared" si="34"/>
        <v>72.130952380952394</v>
      </c>
      <c r="AA269" s="23" t="e">
        <f t="shared" si="35"/>
        <v>#DIV/0!</v>
      </c>
      <c r="AB269" s="445" t="e">
        <f t="shared" si="36"/>
        <v>#DIV/0!</v>
      </c>
      <c r="AC269" s="123"/>
    </row>
    <row r="270" spans="1:29" ht="12" customHeight="1">
      <c r="A270" s="11">
        <v>266</v>
      </c>
      <c r="B270" s="12" t="s">
        <v>495</v>
      </c>
      <c r="C270" s="17">
        <v>1</v>
      </c>
      <c r="D270" s="19" t="s">
        <v>496</v>
      </c>
      <c r="E270" s="17">
        <v>4</v>
      </c>
      <c r="F270" s="316" t="s">
        <v>542</v>
      </c>
      <c r="G270" s="319">
        <v>16.100000000000001</v>
      </c>
      <c r="H270" s="317" t="s">
        <v>410</v>
      </c>
      <c r="I270" s="20" t="s">
        <v>371</v>
      </c>
      <c r="J270" s="21" t="s">
        <v>176</v>
      </c>
      <c r="K270" s="12" t="s">
        <v>14</v>
      </c>
      <c r="L270" s="319">
        <f t="shared" si="37"/>
        <v>16.100000000000001</v>
      </c>
      <c r="M270" s="22">
        <v>1</v>
      </c>
      <c r="N270" s="79">
        <f>IF(K270="NV","",IF(VLOOKUP(M270,'R_Häufigkeit_Faktoren UHR'!$B$4:$I$24,7,FALSE)=0,"",VLOOKUP(M270,'R_Häufigkeit_Faktoren UHR'!$B$4:$I$24,7,FALSE)))</f>
        <v>4.3452380952380958</v>
      </c>
      <c r="O270" s="3">
        <f t="shared" si="18"/>
        <v>69.958333333333343</v>
      </c>
      <c r="P270" s="325"/>
      <c r="Q270" s="156">
        <f>IF(N270="","",VLOOKUP(J270,Raumgruppen_Leistungswerte!$B$5:$F$35,5,FALSE))</f>
        <v>0</v>
      </c>
      <c r="R270" s="157" t="e">
        <f t="shared" si="19"/>
        <v>#DIV/0!</v>
      </c>
      <c r="S270" s="445" t="e">
        <f t="shared" si="20"/>
        <v>#DIV/0!</v>
      </c>
      <c r="T270" s="78" t="str">
        <f>IF(K270="NV","",IF(VLOOKUP(M270,'R_Häufigkeit_Faktoren UHR'!$B$4:$I$24,8,FALSE)=0,"",VLOOKUP(M270,'R_Häufigkeit_Faktoren UHR'!$B$4:$I$24,8,FALSE)))</f>
        <v/>
      </c>
      <c r="U270" s="156" t="str">
        <f t="shared" si="21"/>
        <v/>
      </c>
      <c r="V270" s="427"/>
      <c r="W270" s="12" t="str">
        <f>IF(T270="","",VLOOKUP(J270,Raumgruppen_Leistungswerte!$B$5:$F$35,5,FALSE))</f>
        <v/>
      </c>
      <c r="X270" s="156" t="str">
        <f t="shared" si="22"/>
        <v/>
      </c>
      <c r="Y270" s="446" t="str">
        <f t="shared" si="23"/>
        <v/>
      </c>
      <c r="Z270" s="158">
        <f t="shared" si="34"/>
        <v>69.958333333333343</v>
      </c>
      <c r="AA270" s="23" t="e">
        <f t="shared" si="35"/>
        <v>#DIV/0!</v>
      </c>
      <c r="AB270" s="445" t="e">
        <f t="shared" si="36"/>
        <v>#DIV/0!</v>
      </c>
      <c r="AC270" s="123"/>
    </row>
    <row r="271" spans="1:29" ht="12" customHeight="1">
      <c r="A271" s="11">
        <v>267</v>
      </c>
      <c r="B271" s="12" t="s">
        <v>495</v>
      </c>
      <c r="C271" s="17">
        <v>1</v>
      </c>
      <c r="D271" s="19" t="s">
        <v>496</v>
      </c>
      <c r="E271" s="17">
        <v>4</v>
      </c>
      <c r="F271" s="316" t="s">
        <v>543</v>
      </c>
      <c r="G271" s="319">
        <v>14.8</v>
      </c>
      <c r="H271" s="317" t="s">
        <v>494</v>
      </c>
      <c r="I271" s="20" t="s">
        <v>371</v>
      </c>
      <c r="J271" s="21" t="s">
        <v>251</v>
      </c>
      <c r="K271" s="12" t="s">
        <v>14</v>
      </c>
      <c r="L271" s="334">
        <f t="shared" si="37"/>
        <v>14.8</v>
      </c>
      <c r="M271" s="22">
        <v>1</v>
      </c>
      <c r="N271" s="79">
        <f>IF(K271="NV","",IF(VLOOKUP(M271,'R_Häufigkeit_Faktoren UHR'!$B$4:$I$24,7,FALSE)=0,"",VLOOKUP(M271,'R_Häufigkeit_Faktoren UHR'!$B$4:$I$24,7,FALSE)))</f>
        <v>4.3452380952380958</v>
      </c>
      <c r="O271" s="3">
        <f t="shared" si="18"/>
        <v>64.309523809523824</v>
      </c>
      <c r="P271" s="325"/>
      <c r="Q271" s="156">
        <f>IF(N271="","",VLOOKUP(J271,Raumgruppen_Leistungswerte!$B$5:$F$35,5,FALSE))</f>
        <v>0</v>
      </c>
      <c r="R271" s="157" t="e">
        <f t="shared" si="19"/>
        <v>#DIV/0!</v>
      </c>
      <c r="S271" s="445" t="e">
        <f t="shared" si="20"/>
        <v>#DIV/0!</v>
      </c>
      <c r="T271" s="78" t="str">
        <f>IF(K271="NV","",IF(VLOOKUP(M271,'R_Häufigkeit_Faktoren UHR'!$B$4:$I$24,8,FALSE)=0,"",VLOOKUP(M271,'R_Häufigkeit_Faktoren UHR'!$B$4:$I$24,8,FALSE)))</f>
        <v/>
      </c>
      <c r="U271" s="156" t="str">
        <f t="shared" si="21"/>
        <v/>
      </c>
      <c r="V271" s="427"/>
      <c r="W271" s="12" t="str">
        <f>IF(T271="","",VLOOKUP(J271,Raumgruppen_Leistungswerte!$B$5:$F$35,5,FALSE))</f>
        <v/>
      </c>
      <c r="X271" s="156" t="str">
        <f t="shared" si="22"/>
        <v/>
      </c>
      <c r="Y271" s="446" t="str">
        <f t="shared" si="23"/>
        <v/>
      </c>
      <c r="Z271" s="158">
        <f t="shared" si="34"/>
        <v>64.309523809523824</v>
      </c>
      <c r="AA271" s="23" t="e">
        <f t="shared" si="35"/>
        <v>#DIV/0!</v>
      </c>
      <c r="AB271" s="445" t="e">
        <f t="shared" si="36"/>
        <v>#DIV/0!</v>
      </c>
      <c r="AC271" s="123"/>
    </row>
    <row r="272" spans="1:29" ht="12" customHeight="1">
      <c r="A272" s="11">
        <v>268</v>
      </c>
      <c r="B272" s="12" t="s">
        <v>495</v>
      </c>
      <c r="C272" s="17">
        <v>1</v>
      </c>
      <c r="D272" s="19" t="s">
        <v>496</v>
      </c>
      <c r="E272" s="17">
        <v>5</v>
      </c>
      <c r="F272" s="316" t="s">
        <v>531</v>
      </c>
      <c r="G272" s="319">
        <v>104.3</v>
      </c>
      <c r="H272" s="317" t="s">
        <v>13</v>
      </c>
      <c r="I272" s="20" t="s">
        <v>383</v>
      </c>
      <c r="J272" s="21" t="s">
        <v>238</v>
      </c>
      <c r="K272" s="12" t="s">
        <v>14</v>
      </c>
      <c r="L272" s="319">
        <f t="shared" si="37"/>
        <v>104.3</v>
      </c>
      <c r="M272" s="22">
        <v>5</v>
      </c>
      <c r="N272" s="79">
        <f>IF(K272="NV","",IF(VLOOKUP(M272,'R_Häufigkeit_Faktoren UHR'!$B$4:$I$24,7,FALSE)=0,"",VLOOKUP(M272,'R_Häufigkeit_Faktoren UHR'!$B$4:$I$24,7,FALSE)))</f>
        <v>20.917857142857144</v>
      </c>
      <c r="O272" s="3">
        <f t="shared" si="18"/>
        <v>2181.7325000000001</v>
      </c>
      <c r="P272" s="325"/>
      <c r="Q272" s="156">
        <f>IF(N272="","",VLOOKUP(J272,Raumgruppen_Leistungswerte!$B$5:$F$35,5,FALSE))</f>
        <v>0</v>
      </c>
      <c r="R272" s="157" t="e">
        <f t="shared" si="19"/>
        <v>#DIV/0!</v>
      </c>
      <c r="S272" s="445" t="e">
        <f t="shared" si="20"/>
        <v>#DIV/0!</v>
      </c>
      <c r="T272" s="78" t="str">
        <f>IF(K272="NV","",IF(VLOOKUP(M272,'R_Häufigkeit_Faktoren UHR'!$B$4:$I$24,8,FALSE)=0,"",VLOOKUP(M272,'R_Häufigkeit_Faktoren UHR'!$B$4:$I$24,8,FALSE)))</f>
        <v/>
      </c>
      <c r="U272" s="156" t="str">
        <f t="shared" si="21"/>
        <v/>
      </c>
      <c r="V272" s="427"/>
      <c r="W272" s="12" t="str">
        <f>IF(T272="","",VLOOKUP(J272,Raumgruppen_Leistungswerte!$B$5:$F$35,5,FALSE))</f>
        <v/>
      </c>
      <c r="X272" s="156" t="str">
        <f t="shared" si="22"/>
        <v/>
      </c>
      <c r="Y272" s="446" t="str">
        <f t="shared" si="23"/>
        <v/>
      </c>
      <c r="Z272" s="158">
        <f t="shared" si="34"/>
        <v>2181.7325000000001</v>
      </c>
      <c r="AA272" s="23" t="e">
        <f t="shared" si="35"/>
        <v>#DIV/0!</v>
      </c>
      <c r="AB272" s="445" t="e">
        <f t="shared" si="36"/>
        <v>#DIV/0!</v>
      </c>
      <c r="AC272" s="123"/>
    </row>
    <row r="273" spans="1:29" ht="12" customHeight="1">
      <c r="A273" s="11">
        <v>269</v>
      </c>
      <c r="B273" s="12" t="s">
        <v>495</v>
      </c>
      <c r="C273" s="17">
        <v>1</v>
      </c>
      <c r="D273" s="19" t="s">
        <v>496</v>
      </c>
      <c r="E273" s="17">
        <v>5</v>
      </c>
      <c r="F273" s="316" t="s">
        <v>544</v>
      </c>
      <c r="G273" s="319">
        <v>33.200000000000003</v>
      </c>
      <c r="H273" s="317" t="s">
        <v>410</v>
      </c>
      <c r="I273" s="14" t="s">
        <v>371</v>
      </c>
      <c r="J273" s="21" t="s">
        <v>176</v>
      </c>
      <c r="K273" s="12" t="s">
        <v>14</v>
      </c>
      <c r="L273" s="319">
        <f t="shared" si="37"/>
        <v>33.200000000000003</v>
      </c>
      <c r="M273" s="22">
        <v>1</v>
      </c>
      <c r="N273" s="79">
        <f>IF(K273="NV","",IF(VLOOKUP(M273,'R_Häufigkeit_Faktoren UHR'!$B$4:$I$24,7,FALSE)=0,"",VLOOKUP(M273,'R_Häufigkeit_Faktoren UHR'!$B$4:$I$24,7,FALSE)))</f>
        <v>4.3452380952380958</v>
      </c>
      <c r="O273" s="3">
        <f t="shared" si="18"/>
        <v>144.26190476190479</v>
      </c>
      <c r="P273" s="325"/>
      <c r="Q273" s="156">
        <f>IF(N273="","",VLOOKUP(J273,Raumgruppen_Leistungswerte!$B$5:$F$35,5,FALSE))</f>
        <v>0</v>
      </c>
      <c r="R273" s="157" t="e">
        <f t="shared" si="19"/>
        <v>#DIV/0!</v>
      </c>
      <c r="S273" s="445" t="e">
        <f t="shared" si="20"/>
        <v>#DIV/0!</v>
      </c>
      <c r="T273" s="78" t="str">
        <f>IF(K273="NV","",IF(VLOOKUP(M273,'R_Häufigkeit_Faktoren UHR'!$B$4:$I$24,8,FALSE)=0,"",VLOOKUP(M273,'R_Häufigkeit_Faktoren UHR'!$B$4:$I$24,8,FALSE)))</f>
        <v/>
      </c>
      <c r="U273" s="156" t="str">
        <f t="shared" si="21"/>
        <v/>
      </c>
      <c r="V273" s="427"/>
      <c r="W273" s="12" t="str">
        <f>IF(T273="","",VLOOKUP(J273,Raumgruppen_Leistungswerte!$B$5:$F$35,5,FALSE))</f>
        <v/>
      </c>
      <c r="X273" s="156" t="str">
        <f t="shared" si="22"/>
        <v/>
      </c>
      <c r="Y273" s="446" t="str">
        <f t="shared" si="23"/>
        <v/>
      </c>
      <c r="Z273" s="158">
        <f t="shared" si="34"/>
        <v>144.26190476190479</v>
      </c>
      <c r="AA273" s="23" t="e">
        <f t="shared" si="35"/>
        <v>#DIV/0!</v>
      </c>
      <c r="AB273" s="445" t="e">
        <f t="shared" si="36"/>
        <v>#DIV/0!</v>
      </c>
      <c r="AC273" s="123"/>
    </row>
    <row r="274" spans="1:29" ht="12" customHeight="1">
      <c r="A274" s="11">
        <v>270</v>
      </c>
      <c r="B274" s="12" t="s">
        <v>495</v>
      </c>
      <c r="C274" s="17">
        <v>1</v>
      </c>
      <c r="D274" s="19" t="s">
        <v>496</v>
      </c>
      <c r="E274" s="17">
        <v>5</v>
      </c>
      <c r="F274" s="316" t="s">
        <v>545</v>
      </c>
      <c r="G274" s="319">
        <v>33.6</v>
      </c>
      <c r="H274" s="317" t="s">
        <v>410</v>
      </c>
      <c r="I274" s="14" t="s">
        <v>371</v>
      </c>
      <c r="J274" s="21" t="s">
        <v>176</v>
      </c>
      <c r="K274" s="12" t="s">
        <v>14</v>
      </c>
      <c r="L274" s="319">
        <f t="shared" si="37"/>
        <v>33.6</v>
      </c>
      <c r="M274" s="22">
        <v>1</v>
      </c>
      <c r="N274" s="79">
        <f>IF(K274="NV","",IF(VLOOKUP(M274,'R_Häufigkeit_Faktoren UHR'!$B$4:$I$24,7,FALSE)=0,"",VLOOKUP(M274,'R_Häufigkeit_Faktoren UHR'!$B$4:$I$24,7,FALSE)))</f>
        <v>4.3452380952380958</v>
      </c>
      <c r="O274" s="3">
        <f t="shared" si="18"/>
        <v>146.00000000000003</v>
      </c>
      <c r="P274" s="325"/>
      <c r="Q274" s="156">
        <f>IF(N274="","",VLOOKUP(J274,Raumgruppen_Leistungswerte!$B$5:$F$35,5,FALSE))</f>
        <v>0</v>
      </c>
      <c r="R274" s="157" t="e">
        <f t="shared" si="19"/>
        <v>#DIV/0!</v>
      </c>
      <c r="S274" s="445" t="e">
        <f t="shared" si="20"/>
        <v>#DIV/0!</v>
      </c>
      <c r="T274" s="78" t="str">
        <f>IF(K274="NV","",IF(VLOOKUP(M274,'R_Häufigkeit_Faktoren UHR'!$B$4:$I$24,8,FALSE)=0,"",VLOOKUP(M274,'R_Häufigkeit_Faktoren UHR'!$B$4:$I$24,8,FALSE)))</f>
        <v/>
      </c>
      <c r="U274" s="156" t="str">
        <f t="shared" si="21"/>
        <v/>
      </c>
      <c r="V274" s="427"/>
      <c r="W274" s="12" t="str">
        <f>IF(T274="","",VLOOKUP(J274,Raumgruppen_Leistungswerte!$B$5:$F$35,5,FALSE))</f>
        <v/>
      </c>
      <c r="X274" s="156" t="str">
        <f t="shared" si="22"/>
        <v/>
      </c>
      <c r="Y274" s="446" t="str">
        <f t="shared" si="23"/>
        <v/>
      </c>
      <c r="Z274" s="158">
        <f t="shared" ref="Z274:Z305" si="38">IF(U274="",O274,O274+U274)</f>
        <v>146.00000000000003</v>
      </c>
      <c r="AA274" s="23" t="e">
        <f t="shared" ref="AA274:AA305" si="39">IF(X274="",R274,X274+R274)</f>
        <v>#DIV/0!</v>
      </c>
      <c r="AB274" s="445" t="e">
        <f t="shared" ref="AB274:AB305" si="40">IF(Y274="",S274,S274+Y274)</f>
        <v>#DIV/0!</v>
      </c>
      <c r="AC274" s="123"/>
    </row>
    <row r="275" spans="1:29" ht="12" customHeight="1">
      <c r="A275" s="11">
        <v>271</v>
      </c>
      <c r="B275" s="12" t="s">
        <v>495</v>
      </c>
      <c r="C275" s="17">
        <v>1</v>
      </c>
      <c r="D275" s="19" t="s">
        <v>496</v>
      </c>
      <c r="E275" s="17">
        <v>5</v>
      </c>
      <c r="F275" s="316" t="s">
        <v>546</v>
      </c>
      <c r="G275" s="319">
        <v>33.6</v>
      </c>
      <c r="H275" s="317" t="s">
        <v>410</v>
      </c>
      <c r="I275" s="14" t="s">
        <v>371</v>
      </c>
      <c r="J275" s="21" t="s">
        <v>176</v>
      </c>
      <c r="K275" s="12" t="s">
        <v>14</v>
      </c>
      <c r="L275" s="319">
        <f t="shared" si="37"/>
        <v>33.6</v>
      </c>
      <c r="M275" s="22">
        <v>1</v>
      </c>
      <c r="N275" s="79">
        <f>IF(K275="NV","",IF(VLOOKUP(M275,'R_Häufigkeit_Faktoren UHR'!$B$4:$I$24,7,FALSE)=0,"",VLOOKUP(M275,'R_Häufigkeit_Faktoren UHR'!$B$4:$I$24,7,FALSE)))</f>
        <v>4.3452380952380958</v>
      </c>
      <c r="O275" s="3">
        <f t="shared" si="18"/>
        <v>146.00000000000003</v>
      </c>
      <c r="P275" s="325"/>
      <c r="Q275" s="156">
        <f>IF(N275="","",VLOOKUP(J275,Raumgruppen_Leistungswerte!$B$5:$F$35,5,FALSE))</f>
        <v>0</v>
      </c>
      <c r="R275" s="157" t="e">
        <f t="shared" si="19"/>
        <v>#DIV/0!</v>
      </c>
      <c r="S275" s="445" t="e">
        <f t="shared" si="20"/>
        <v>#DIV/0!</v>
      </c>
      <c r="T275" s="78" t="str">
        <f>IF(K275="NV","",IF(VLOOKUP(M275,'R_Häufigkeit_Faktoren UHR'!$B$4:$I$24,8,FALSE)=0,"",VLOOKUP(M275,'R_Häufigkeit_Faktoren UHR'!$B$4:$I$24,8,FALSE)))</f>
        <v/>
      </c>
      <c r="U275" s="156" t="str">
        <f t="shared" si="21"/>
        <v/>
      </c>
      <c r="V275" s="427"/>
      <c r="W275" s="12" t="str">
        <f>IF(T275="","",VLOOKUP(J275,Raumgruppen_Leistungswerte!$B$5:$F$35,5,FALSE))</f>
        <v/>
      </c>
      <c r="X275" s="156" t="str">
        <f t="shared" si="22"/>
        <v/>
      </c>
      <c r="Y275" s="446" t="str">
        <f t="shared" si="23"/>
        <v/>
      </c>
      <c r="Z275" s="158">
        <f t="shared" si="38"/>
        <v>146.00000000000003</v>
      </c>
      <c r="AA275" s="23" t="e">
        <f t="shared" si="39"/>
        <v>#DIV/0!</v>
      </c>
      <c r="AB275" s="445" t="e">
        <f t="shared" si="40"/>
        <v>#DIV/0!</v>
      </c>
      <c r="AC275" s="123"/>
    </row>
    <row r="276" spans="1:29" ht="12" customHeight="1">
      <c r="A276" s="11">
        <v>272</v>
      </c>
      <c r="B276" s="12" t="s">
        <v>495</v>
      </c>
      <c r="C276" s="17">
        <v>1</v>
      </c>
      <c r="D276" s="19" t="s">
        <v>496</v>
      </c>
      <c r="E276" s="17">
        <v>5</v>
      </c>
      <c r="F276" s="316" t="s">
        <v>547</v>
      </c>
      <c r="G276" s="319">
        <v>33.6</v>
      </c>
      <c r="H276" s="317" t="s">
        <v>410</v>
      </c>
      <c r="I276" s="14" t="s">
        <v>371</v>
      </c>
      <c r="J276" s="21" t="s">
        <v>176</v>
      </c>
      <c r="K276" s="12" t="s">
        <v>14</v>
      </c>
      <c r="L276" s="319">
        <f t="shared" si="37"/>
        <v>33.6</v>
      </c>
      <c r="M276" s="22">
        <v>1</v>
      </c>
      <c r="N276" s="79">
        <f>IF(K276="NV","",IF(VLOOKUP(M276,'R_Häufigkeit_Faktoren UHR'!$B$4:$I$24,7,FALSE)=0,"",VLOOKUP(M276,'R_Häufigkeit_Faktoren UHR'!$B$4:$I$24,7,FALSE)))</f>
        <v>4.3452380952380958</v>
      </c>
      <c r="O276" s="3">
        <f t="shared" si="18"/>
        <v>146.00000000000003</v>
      </c>
      <c r="P276" s="325"/>
      <c r="Q276" s="156">
        <f>IF(N276="","",VLOOKUP(J276,Raumgruppen_Leistungswerte!$B$5:$F$35,5,FALSE))</f>
        <v>0</v>
      </c>
      <c r="R276" s="157" t="e">
        <f t="shared" si="19"/>
        <v>#DIV/0!</v>
      </c>
      <c r="S276" s="445" t="e">
        <f t="shared" si="20"/>
        <v>#DIV/0!</v>
      </c>
      <c r="T276" s="78" t="str">
        <f>IF(K276="NV","",IF(VLOOKUP(M276,'R_Häufigkeit_Faktoren UHR'!$B$4:$I$24,8,FALSE)=0,"",VLOOKUP(M276,'R_Häufigkeit_Faktoren UHR'!$B$4:$I$24,8,FALSE)))</f>
        <v/>
      </c>
      <c r="U276" s="156" t="str">
        <f t="shared" si="21"/>
        <v/>
      </c>
      <c r="V276" s="427"/>
      <c r="W276" s="12" t="str">
        <f>IF(T276="","",VLOOKUP(J276,Raumgruppen_Leistungswerte!$B$5:$F$35,5,FALSE))</f>
        <v/>
      </c>
      <c r="X276" s="156" t="str">
        <f t="shared" si="22"/>
        <v/>
      </c>
      <c r="Y276" s="446" t="str">
        <f t="shared" si="23"/>
        <v/>
      </c>
      <c r="Z276" s="158">
        <f t="shared" si="38"/>
        <v>146.00000000000003</v>
      </c>
      <c r="AA276" s="23" t="e">
        <f t="shared" si="39"/>
        <v>#DIV/0!</v>
      </c>
      <c r="AB276" s="445" t="e">
        <f t="shared" si="40"/>
        <v>#DIV/0!</v>
      </c>
      <c r="AC276" s="123"/>
    </row>
    <row r="277" spans="1:29" ht="12" customHeight="1">
      <c r="A277" s="11">
        <v>273</v>
      </c>
      <c r="B277" s="12" t="s">
        <v>495</v>
      </c>
      <c r="C277" s="17">
        <v>1</v>
      </c>
      <c r="D277" s="19" t="s">
        <v>496</v>
      </c>
      <c r="E277" s="17">
        <v>5</v>
      </c>
      <c r="F277" s="316" t="s">
        <v>548</v>
      </c>
      <c r="G277" s="319">
        <v>33.5</v>
      </c>
      <c r="H277" s="317" t="s">
        <v>410</v>
      </c>
      <c r="I277" s="20" t="s">
        <v>371</v>
      </c>
      <c r="J277" s="21" t="s">
        <v>176</v>
      </c>
      <c r="K277" s="12" t="s">
        <v>14</v>
      </c>
      <c r="L277" s="319">
        <f t="shared" si="37"/>
        <v>33.5</v>
      </c>
      <c r="M277" s="22">
        <v>1</v>
      </c>
      <c r="N277" s="79">
        <f>IF(K277="NV","",IF(VLOOKUP(M277,'R_Häufigkeit_Faktoren UHR'!$B$4:$I$24,7,FALSE)=0,"",VLOOKUP(M277,'R_Häufigkeit_Faktoren UHR'!$B$4:$I$24,7,FALSE)))</f>
        <v>4.3452380952380958</v>
      </c>
      <c r="O277" s="3">
        <f t="shared" si="18"/>
        <v>145.5654761904762</v>
      </c>
      <c r="P277" s="325"/>
      <c r="Q277" s="156">
        <f>IF(N277="","",VLOOKUP(J277,Raumgruppen_Leistungswerte!$B$5:$F$35,5,FALSE))</f>
        <v>0</v>
      </c>
      <c r="R277" s="157" t="e">
        <f t="shared" si="19"/>
        <v>#DIV/0!</v>
      </c>
      <c r="S277" s="445" t="e">
        <f t="shared" si="20"/>
        <v>#DIV/0!</v>
      </c>
      <c r="T277" s="78" t="str">
        <f>IF(K277="NV","",IF(VLOOKUP(M277,'R_Häufigkeit_Faktoren UHR'!$B$4:$I$24,8,FALSE)=0,"",VLOOKUP(M277,'R_Häufigkeit_Faktoren UHR'!$B$4:$I$24,8,FALSE)))</f>
        <v/>
      </c>
      <c r="U277" s="156" t="str">
        <f t="shared" si="21"/>
        <v/>
      </c>
      <c r="V277" s="427"/>
      <c r="W277" s="12" t="str">
        <f>IF(T277="","",VLOOKUP(J277,Raumgruppen_Leistungswerte!$B$5:$F$35,5,FALSE))</f>
        <v/>
      </c>
      <c r="X277" s="156" t="str">
        <f t="shared" si="22"/>
        <v/>
      </c>
      <c r="Y277" s="446" t="str">
        <f t="shared" si="23"/>
        <v/>
      </c>
      <c r="Z277" s="158">
        <f t="shared" si="38"/>
        <v>145.5654761904762</v>
      </c>
      <c r="AA277" s="23" t="e">
        <f t="shared" si="39"/>
        <v>#DIV/0!</v>
      </c>
      <c r="AB277" s="445" t="e">
        <f t="shared" si="40"/>
        <v>#DIV/0!</v>
      </c>
      <c r="AC277" s="123"/>
    </row>
    <row r="278" spans="1:29" ht="12" customHeight="1">
      <c r="A278" s="11">
        <v>274</v>
      </c>
      <c r="B278" s="12" t="s">
        <v>495</v>
      </c>
      <c r="C278" s="17">
        <v>1</v>
      </c>
      <c r="D278" s="19" t="s">
        <v>496</v>
      </c>
      <c r="E278" s="17">
        <v>5</v>
      </c>
      <c r="F278" s="316" t="s">
        <v>508</v>
      </c>
      <c r="G278" s="319">
        <v>1.9</v>
      </c>
      <c r="H278" s="317" t="s">
        <v>381</v>
      </c>
      <c r="I278" s="20" t="s">
        <v>383</v>
      </c>
      <c r="J278" s="21" t="s">
        <v>245</v>
      </c>
      <c r="K278" s="12" t="s">
        <v>14</v>
      </c>
      <c r="L278" s="334">
        <f t="shared" si="37"/>
        <v>1.9</v>
      </c>
      <c r="M278" s="22">
        <v>5</v>
      </c>
      <c r="N278" s="79">
        <f>IF(K278="NV","",IF(VLOOKUP(M278,'R_Häufigkeit_Faktoren UHR'!$B$4:$I$24,7,FALSE)=0,"",VLOOKUP(M278,'R_Häufigkeit_Faktoren UHR'!$B$4:$I$24,7,FALSE)))</f>
        <v>20.917857142857144</v>
      </c>
      <c r="O278" s="3">
        <f t="shared" si="18"/>
        <v>39.743928571428576</v>
      </c>
      <c r="P278" s="325"/>
      <c r="Q278" s="156">
        <f>IF(N278="","",VLOOKUP(J278,Raumgruppen_Leistungswerte!$B$5:$F$35,5,FALSE))</f>
        <v>0</v>
      </c>
      <c r="R278" s="157" t="e">
        <f t="shared" si="19"/>
        <v>#DIV/0!</v>
      </c>
      <c r="S278" s="445" t="e">
        <f t="shared" si="20"/>
        <v>#DIV/0!</v>
      </c>
      <c r="T278" s="78" t="str">
        <f>IF(K278="NV","",IF(VLOOKUP(M278,'R_Häufigkeit_Faktoren UHR'!$B$4:$I$24,8,FALSE)=0,"",VLOOKUP(M278,'R_Häufigkeit_Faktoren UHR'!$B$4:$I$24,8,FALSE)))</f>
        <v/>
      </c>
      <c r="U278" s="156" t="str">
        <f t="shared" si="21"/>
        <v/>
      </c>
      <c r="V278" s="427"/>
      <c r="W278" s="12" t="str">
        <f>IF(T278="","",VLOOKUP(J278,Raumgruppen_Leistungswerte!$B$5:$F$35,5,FALSE))</f>
        <v/>
      </c>
      <c r="X278" s="156" t="str">
        <f t="shared" si="22"/>
        <v/>
      </c>
      <c r="Y278" s="446" t="str">
        <f t="shared" si="23"/>
        <v/>
      </c>
      <c r="Z278" s="158">
        <f t="shared" si="38"/>
        <v>39.743928571428576</v>
      </c>
      <c r="AA278" s="23" t="e">
        <f t="shared" si="39"/>
        <v>#DIV/0!</v>
      </c>
      <c r="AB278" s="445" t="e">
        <f t="shared" si="40"/>
        <v>#DIV/0!</v>
      </c>
      <c r="AC278" s="123"/>
    </row>
    <row r="279" spans="1:29" ht="12" customHeight="1">
      <c r="A279" s="11">
        <v>275</v>
      </c>
      <c r="B279" s="12" t="s">
        <v>495</v>
      </c>
      <c r="C279" s="17">
        <v>1</v>
      </c>
      <c r="D279" s="19" t="s">
        <v>496</v>
      </c>
      <c r="E279" s="17">
        <v>6</v>
      </c>
      <c r="F279" s="316" t="s">
        <v>549</v>
      </c>
      <c r="G279" s="319">
        <v>77.900000000000006</v>
      </c>
      <c r="H279" s="317" t="s">
        <v>13</v>
      </c>
      <c r="I279" s="20" t="s">
        <v>13</v>
      </c>
      <c r="J279" s="21" t="s">
        <v>238</v>
      </c>
      <c r="K279" s="12" t="s">
        <v>14</v>
      </c>
      <c r="L279" s="319">
        <f t="shared" si="37"/>
        <v>77.900000000000006</v>
      </c>
      <c r="M279" s="22">
        <v>5</v>
      </c>
      <c r="N279" s="79">
        <f>IF(K279="NV","",IF(VLOOKUP(M279,'R_Häufigkeit_Faktoren UHR'!$B$4:$I$24,7,FALSE)=0,"",VLOOKUP(M279,'R_Häufigkeit_Faktoren UHR'!$B$4:$I$24,7,FALSE)))</f>
        <v>20.917857142857144</v>
      </c>
      <c r="O279" s="3">
        <f t="shared" si="18"/>
        <v>1629.5010714285718</v>
      </c>
      <c r="P279" s="325"/>
      <c r="Q279" s="156">
        <f>IF(N279="","",VLOOKUP(J279,Raumgruppen_Leistungswerte!$B$5:$F$35,5,FALSE))</f>
        <v>0</v>
      </c>
      <c r="R279" s="157" t="e">
        <f t="shared" si="19"/>
        <v>#DIV/0!</v>
      </c>
      <c r="S279" s="445" t="e">
        <f t="shared" si="20"/>
        <v>#DIV/0!</v>
      </c>
      <c r="T279" s="78" t="str">
        <f>IF(K279="NV","",IF(VLOOKUP(M279,'R_Häufigkeit_Faktoren UHR'!$B$4:$I$24,8,FALSE)=0,"",VLOOKUP(M279,'R_Häufigkeit_Faktoren UHR'!$B$4:$I$24,8,FALSE)))</f>
        <v/>
      </c>
      <c r="U279" s="156" t="str">
        <f t="shared" si="21"/>
        <v/>
      </c>
      <c r="V279" s="427"/>
      <c r="W279" s="12" t="str">
        <f>IF(T279="","",VLOOKUP(J279,Raumgruppen_Leistungswerte!$B$5:$F$35,5,FALSE))</f>
        <v/>
      </c>
      <c r="X279" s="156" t="str">
        <f t="shared" si="22"/>
        <v/>
      </c>
      <c r="Y279" s="446" t="str">
        <f t="shared" si="23"/>
        <v/>
      </c>
      <c r="Z279" s="158">
        <f t="shared" si="38"/>
        <v>1629.5010714285718</v>
      </c>
      <c r="AA279" s="23" t="e">
        <f t="shared" si="39"/>
        <v>#DIV/0!</v>
      </c>
      <c r="AB279" s="445" t="e">
        <f t="shared" si="40"/>
        <v>#DIV/0!</v>
      </c>
      <c r="AC279" s="123"/>
    </row>
    <row r="280" spans="1:29" ht="12" customHeight="1">
      <c r="A280" s="11">
        <v>276</v>
      </c>
      <c r="B280" s="12" t="s">
        <v>495</v>
      </c>
      <c r="C280" s="17">
        <v>1</v>
      </c>
      <c r="D280" s="19" t="s">
        <v>496</v>
      </c>
      <c r="E280" s="17">
        <v>6</v>
      </c>
      <c r="F280" s="316" t="s">
        <v>550</v>
      </c>
      <c r="G280" s="319">
        <v>83.5</v>
      </c>
      <c r="H280" s="317" t="s">
        <v>551</v>
      </c>
      <c r="I280" s="20" t="s">
        <v>383</v>
      </c>
      <c r="J280" s="21" t="s">
        <v>249</v>
      </c>
      <c r="K280" s="12" t="s">
        <v>14</v>
      </c>
      <c r="L280" s="319">
        <f t="shared" si="37"/>
        <v>83.5</v>
      </c>
      <c r="M280" s="22">
        <v>5</v>
      </c>
      <c r="N280" s="79">
        <f>IF(K280="NV","",IF(VLOOKUP(M280,'R_Häufigkeit_Faktoren UHR'!$B$4:$I$24,7,FALSE)=0,"",VLOOKUP(M280,'R_Häufigkeit_Faktoren UHR'!$B$4:$I$24,7,FALSE)))</f>
        <v>20.917857142857144</v>
      </c>
      <c r="O280" s="3">
        <f t="shared" si="18"/>
        <v>1746.6410714285716</v>
      </c>
      <c r="P280" s="325"/>
      <c r="Q280" s="156">
        <f>IF(N280="","",VLOOKUP(J280,Raumgruppen_Leistungswerte!$B$5:$F$35,5,FALSE))</f>
        <v>0</v>
      </c>
      <c r="R280" s="157" t="e">
        <f t="shared" si="19"/>
        <v>#DIV/0!</v>
      </c>
      <c r="S280" s="445" t="e">
        <f t="shared" si="20"/>
        <v>#DIV/0!</v>
      </c>
      <c r="T280" s="78" t="str">
        <f>IF(K280="NV","",IF(VLOOKUP(M280,'R_Häufigkeit_Faktoren UHR'!$B$4:$I$24,8,FALSE)=0,"",VLOOKUP(M280,'R_Häufigkeit_Faktoren UHR'!$B$4:$I$24,8,FALSE)))</f>
        <v/>
      </c>
      <c r="U280" s="156" t="str">
        <f t="shared" si="21"/>
        <v/>
      </c>
      <c r="V280" s="427"/>
      <c r="W280" s="12" t="str">
        <f>IF(T280="","",VLOOKUP(J280,Raumgruppen_Leistungswerte!$B$5:$F$35,5,FALSE))</f>
        <v/>
      </c>
      <c r="X280" s="156" t="str">
        <f t="shared" si="22"/>
        <v/>
      </c>
      <c r="Y280" s="446" t="str">
        <f t="shared" si="23"/>
        <v/>
      </c>
      <c r="Z280" s="158">
        <f t="shared" si="38"/>
        <v>1746.6410714285716</v>
      </c>
      <c r="AA280" s="23" t="e">
        <f t="shared" si="39"/>
        <v>#DIV/0!</v>
      </c>
      <c r="AB280" s="445" t="e">
        <f t="shared" si="40"/>
        <v>#DIV/0!</v>
      </c>
      <c r="AC280" s="123"/>
    </row>
    <row r="281" spans="1:29" ht="12" customHeight="1">
      <c r="A281" s="11">
        <v>277</v>
      </c>
      <c r="B281" s="12" t="s">
        <v>495</v>
      </c>
      <c r="C281" s="17">
        <v>1</v>
      </c>
      <c r="D281" s="19" t="s">
        <v>496</v>
      </c>
      <c r="E281" s="17">
        <v>6</v>
      </c>
      <c r="F281" s="316" t="s">
        <v>552</v>
      </c>
      <c r="G281" s="319">
        <v>60.6</v>
      </c>
      <c r="H281" s="317" t="s">
        <v>513</v>
      </c>
      <c r="I281" s="20" t="s">
        <v>383</v>
      </c>
      <c r="J281" s="21" t="s">
        <v>219</v>
      </c>
      <c r="K281" s="12" t="s">
        <v>14</v>
      </c>
      <c r="L281" s="319">
        <f t="shared" si="37"/>
        <v>60.6</v>
      </c>
      <c r="M281" s="22">
        <v>5</v>
      </c>
      <c r="N281" s="79">
        <f>IF(K281="NV","",IF(VLOOKUP(M281,'R_Häufigkeit_Faktoren UHR'!$B$4:$I$24,7,FALSE)=0,"",VLOOKUP(M281,'R_Häufigkeit_Faktoren UHR'!$B$4:$I$24,7,FALSE)))</f>
        <v>20.917857142857144</v>
      </c>
      <c r="O281" s="3">
        <f t="shared" si="18"/>
        <v>1267.622142857143</v>
      </c>
      <c r="P281" s="325"/>
      <c r="Q281" s="156">
        <f>IF(N281="","",VLOOKUP(J281,Raumgruppen_Leistungswerte!$B$5:$F$35,5,FALSE))</f>
        <v>0</v>
      </c>
      <c r="R281" s="157" t="e">
        <f t="shared" si="19"/>
        <v>#DIV/0!</v>
      </c>
      <c r="S281" s="445" t="e">
        <f t="shared" si="20"/>
        <v>#DIV/0!</v>
      </c>
      <c r="T281" s="78" t="str">
        <f>IF(K281="NV","",IF(VLOOKUP(M281,'R_Häufigkeit_Faktoren UHR'!$B$4:$I$24,8,FALSE)=0,"",VLOOKUP(M281,'R_Häufigkeit_Faktoren UHR'!$B$4:$I$24,8,FALSE)))</f>
        <v/>
      </c>
      <c r="U281" s="156" t="str">
        <f t="shared" si="21"/>
        <v/>
      </c>
      <c r="V281" s="427"/>
      <c r="W281" s="12" t="str">
        <f>IF(T281="","",VLOOKUP(J281,Raumgruppen_Leistungswerte!$B$5:$F$35,5,FALSE))</f>
        <v/>
      </c>
      <c r="X281" s="156" t="str">
        <f t="shared" si="22"/>
        <v/>
      </c>
      <c r="Y281" s="446" t="str">
        <f t="shared" si="23"/>
        <v/>
      </c>
      <c r="Z281" s="158">
        <f t="shared" si="38"/>
        <v>1267.622142857143</v>
      </c>
      <c r="AA281" s="23" t="e">
        <f t="shared" si="39"/>
        <v>#DIV/0!</v>
      </c>
      <c r="AB281" s="445" t="e">
        <f t="shared" si="40"/>
        <v>#DIV/0!</v>
      </c>
      <c r="AC281" s="123"/>
    </row>
    <row r="282" spans="1:29" ht="12" customHeight="1">
      <c r="A282" s="11">
        <v>278</v>
      </c>
      <c r="B282" s="12" t="s">
        <v>495</v>
      </c>
      <c r="C282" s="17">
        <v>1</v>
      </c>
      <c r="D282" s="19" t="s">
        <v>496</v>
      </c>
      <c r="E282" s="17">
        <v>6</v>
      </c>
      <c r="F282" s="316" t="s">
        <v>553</v>
      </c>
      <c r="G282" s="319">
        <v>50.1</v>
      </c>
      <c r="H282" s="317" t="s">
        <v>554</v>
      </c>
      <c r="I282" s="20" t="s">
        <v>383</v>
      </c>
      <c r="J282" s="21" t="s">
        <v>219</v>
      </c>
      <c r="K282" s="12" t="s">
        <v>14</v>
      </c>
      <c r="L282" s="319">
        <f t="shared" si="37"/>
        <v>50.1</v>
      </c>
      <c r="M282" s="22">
        <v>5</v>
      </c>
      <c r="N282" s="79">
        <f>IF(K282="NV","",IF(VLOOKUP(M282,'R_Häufigkeit_Faktoren UHR'!$B$4:$I$24,7,FALSE)=0,"",VLOOKUP(M282,'R_Häufigkeit_Faktoren UHR'!$B$4:$I$24,7,FALSE)))</f>
        <v>20.917857142857144</v>
      </c>
      <c r="O282" s="3">
        <f t="shared" si="18"/>
        <v>1047.9846428571429</v>
      </c>
      <c r="P282" s="325"/>
      <c r="Q282" s="156">
        <f>IF(N282="","",VLOOKUP(J282,Raumgruppen_Leistungswerte!$B$5:$F$35,5,FALSE))</f>
        <v>0</v>
      </c>
      <c r="R282" s="157" t="e">
        <f t="shared" si="19"/>
        <v>#DIV/0!</v>
      </c>
      <c r="S282" s="445" t="e">
        <f t="shared" si="20"/>
        <v>#DIV/0!</v>
      </c>
      <c r="T282" s="78" t="str">
        <f>IF(K282="NV","",IF(VLOOKUP(M282,'R_Häufigkeit_Faktoren UHR'!$B$4:$I$24,8,FALSE)=0,"",VLOOKUP(M282,'R_Häufigkeit_Faktoren UHR'!$B$4:$I$24,8,FALSE)))</f>
        <v/>
      </c>
      <c r="U282" s="156" t="str">
        <f t="shared" si="21"/>
        <v/>
      </c>
      <c r="V282" s="427"/>
      <c r="W282" s="12" t="str">
        <f>IF(T282="","",VLOOKUP(J282,Raumgruppen_Leistungswerte!$B$5:$F$35,5,FALSE))</f>
        <v/>
      </c>
      <c r="X282" s="156" t="str">
        <f t="shared" si="22"/>
        <v/>
      </c>
      <c r="Y282" s="446" t="str">
        <f t="shared" si="23"/>
        <v/>
      </c>
      <c r="Z282" s="158">
        <f t="shared" si="38"/>
        <v>1047.9846428571429</v>
      </c>
      <c r="AA282" s="23" t="e">
        <f t="shared" si="39"/>
        <v>#DIV/0!</v>
      </c>
      <c r="AB282" s="445" t="e">
        <f t="shared" si="40"/>
        <v>#DIV/0!</v>
      </c>
      <c r="AC282" s="123"/>
    </row>
    <row r="283" spans="1:29" ht="12" customHeight="1">
      <c r="A283" s="11">
        <v>279</v>
      </c>
      <c r="B283" s="12" t="s">
        <v>495</v>
      </c>
      <c r="C283" s="17">
        <v>1</v>
      </c>
      <c r="D283" s="19" t="s">
        <v>496</v>
      </c>
      <c r="E283" s="17">
        <v>6</v>
      </c>
      <c r="F283" s="316" t="s">
        <v>555</v>
      </c>
      <c r="G283" s="319">
        <v>50.2</v>
      </c>
      <c r="H283" s="317" t="s">
        <v>554</v>
      </c>
      <c r="I283" s="20" t="s">
        <v>383</v>
      </c>
      <c r="J283" s="21" t="s">
        <v>219</v>
      </c>
      <c r="K283" s="12" t="s">
        <v>14</v>
      </c>
      <c r="L283" s="319">
        <f t="shared" si="37"/>
        <v>50.2</v>
      </c>
      <c r="M283" s="22">
        <v>5</v>
      </c>
      <c r="N283" s="79">
        <f>IF(K283="NV","",IF(VLOOKUP(M283,'R_Häufigkeit_Faktoren UHR'!$B$4:$I$24,7,FALSE)=0,"",VLOOKUP(M283,'R_Häufigkeit_Faktoren UHR'!$B$4:$I$24,7,FALSE)))</f>
        <v>20.917857142857144</v>
      </c>
      <c r="O283" s="3">
        <f t="shared" si="18"/>
        <v>1050.0764285714288</v>
      </c>
      <c r="P283" s="325"/>
      <c r="Q283" s="156">
        <f>IF(N283="","",VLOOKUP(J283,Raumgruppen_Leistungswerte!$B$5:$F$35,5,FALSE))</f>
        <v>0</v>
      </c>
      <c r="R283" s="157" t="e">
        <f t="shared" si="19"/>
        <v>#DIV/0!</v>
      </c>
      <c r="S283" s="445" t="e">
        <f t="shared" si="20"/>
        <v>#DIV/0!</v>
      </c>
      <c r="T283" s="78" t="str">
        <f>IF(K283="NV","",IF(VLOOKUP(M283,'R_Häufigkeit_Faktoren UHR'!$B$4:$I$24,8,FALSE)=0,"",VLOOKUP(M283,'R_Häufigkeit_Faktoren UHR'!$B$4:$I$24,8,FALSE)))</f>
        <v/>
      </c>
      <c r="U283" s="156" t="str">
        <f t="shared" si="21"/>
        <v/>
      </c>
      <c r="V283" s="427"/>
      <c r="W283" s="12" t="str">
        <f>IF(T283="","",VLOOKUP(J283,Raumgruppen_Leistungswerte!$B$5:$F$35,5,FALSE))</f>
        <v/>
      </c>
      <c r="X283" s="156" t="str">
        <f t="shared" si="22"/>
        <v/>
      </c>
      <c r="Y283" s="446" t="str">
        <f t="shared" si="23"/>
        <v/>
      </c>
      <c r="Z283" s="158">
        <f t="shared" si="38"/>
        <v>1050.0764285714288</v>
      </c>
      <c r="AA283" s="23" t="e">
        <f t="shared" si="39"/>
        <v>#DIV/0!</v>
      </c>
      <c r="AB283" s="445" t="e">
        <f t="shared" si="40"/>
        <v>#DIV/0!</v>
      </c>
      <c r="AC283" s="123"/>
    </row>
    <row r="284" spans="1:29" ht="12" customHeight="1">
      <c r="A284" s="11">
        <v>280</v>
      </c>
      <c r="B284" s="12" t="s">
        <v>495</v>
      </c>
      <c r="C284" s="17">
        <v>1</v>
      </c>
      <c r="D284" s="19" t="s">
        <v>556</v>
      </c>
      <c r="E284" s="17">
        <v>6</v>
      </c>
      <c r="F284" s="316" t="s">
        <v>557</v>
      </c>
      <c r="G284" s="319">
        <v>40.1</v>
      </c>
      <c r="H284" s="317" t="s">
        <v>410</v>
      </c>
      <c r="I284" s="20" t="s">
        <v>371</v>
      </c>
      <c r="J284" s="21" t="s">
        <v>176</v>
      </c>
      <c r="K284" s="12" t="s">
        <v>14</v>
      </c>
      <c r="L284" s="319">
        <f t="shared" si="37"/>
        <v>40.1</v>
      </c>
      <c r="M284" s="22">
        <v>1</v>
      </c>
      <c r="N284" s="79">
        <f>IF(K284="NV","",IF(VLOOKUP(M284,'R_Häufigkeit_Faktoren UHR'!$B$4:$I$24,7,FALSE)=0,"",VLOOKUP(M284,'R_Häufigkeit_Faktoren UHR'!$B$4:$I$24,7,FALSE)))</f>
        <v>4.3452380952380958</v>
      </c>
      <c r="O284" s="3">
        <f t="shared" si="18"/>
        <v>174.24404761904765</v>
      </c>
      <c r="P284" s="325"/>
      <c r="Q284" s="156">
        <f>IF(N284="","",VLOOKUP(J284,Raumgruppen_Leistungswerte!$B$5:$F$35,5,FALSE))</f>
        <v>0</v>
      </c>
      <c r="R284" s="157" t="e">
        <f t="shared" si="19"/>
        <v>#DIV/0!</v>
      </c>
      <c r="S284" s="445" t="e">
        <f t="shared" si="20"/>
        <v>#DIV/0!</v>
      </c>
      <c r="T284" s="78" t="str">
        <f>IF(K284="NV","",IF(VLOOKUP(M284,'R_Häufigkeit_Faktoren UHR'!$B$4:$I$24,8,FALSE)=0,"",VLOOKUP(M284,'R_Häufigkeit_Faktoren UHR'!$B$4:$I$24,8,FALSE)))</f>
        <v/>
      </c>
      <c r="U284" s="156" t="str">
        <f t="shared" si="21"/>
        <v/>
      </c>
      <c r="V284" s="427"/>
      <c r="W284" s="12" t="str">
        <f>IF(T284="","",VLOOKUP(J284,Raumgruppen_Leistungswerte!$B$5:$F$35,5,FALSE))</f>
        <v/>
      </c>
      <c r="X284" s="156" t="str">
        <f t="shared" si="22"/>
        <v/>
      </c>
      <c r="Y284" s="446" t="str">
        <f t="shared" si="23"/>
        <v/>
      </c>
      <c r="Z284" s="158">
        <f t="shared" si="38"/>
        <v>174.24404761904765</v>
      </c>
      <c r="AA284" s="23" t="e">
        <f t="shared" si="39"/>
        <v>#DIV/0!</v>
      </c>
      <c r="AB284" s="445" t="e">
        <f t="shared" si="40"/>
        <v>#DIV/0!</v>
      </c>
      <c r="AC284" s="123"/>
    </row>
    <row r="285" spans="1:29" ht="12" customHeight="1">
      <c r="A285" s="11">
        <v>281</v>
      </c>
      <c r="B285" s="12" t="s">
        <v>495</v>
      </c>
      <c r="C285" s="17">
        <v>1</v>
      </c>
      <c r="D285" s="19" t="s">
        <v>416</v>
      </c>
      <c r="E285" s="17">
        <v>6</v>
      </c>
      <c r="F285" s="316" t="s">
        <v>558</v>
      </c>
      <c r="G285" s="319">
        <v>7.1</v>
      </c>
      <c r="H285" s="317" t="s">
        <v>418</v>
      </c>
      <c r="I285" s="14" t="s">
        <v>383</v>
      </c>
      <c r="J285" s="21" t="s">
        <v>121</v>
      </c>
      <c r="K285" s="12" t="s">
        <v>173</v>
      </c>
      <c r="L285" s="334" t="str">
        <f t="shared" si="37"/>
        <v/>
      </c>
      <c r="M285" s="22"/>
      <c r="N285" s="78" t="str">
        <f>IF(K285="NV","",IF(VLOOKUP(M285,'R_Häufigkeit_Faktoren UHR'!$B$4:$I$24,7,FALSE)=0,"",VLOOKUP(M285,'R_Häufigkeit_Faktoren UHR'!$B$4:$I$24,7,FALSE)))</f>
        <v/>
      </c>
      <c r="O285" s="3" t="str">
        <f t="shared" si="18"/>
        <v/>
      </c>
      <c r="P285" s="325"/>
      <c r="Q285" s="156" t="str">
        <f>IF(N285="","",VLOOKUP(J285,Raumgruppen_Leistungswerte!$B$5:$F$35,5,FALSE))</f>
        <v/>
      </c>
      <c r="R285" s="157" t="str">
        <f t="shared" si="19"/>
        <v/>
      </c>
      <c r="S285" s="445" t="str">
        <f t="shared" si="20"/>
        <v/>
      </c>
      <c r="T285" s="78" t="str">
        <f>IF(K285="NV","",IF(VLOOKUP(M285,'R_Häufigkeit_Faktoren UHR'!$B$4:$I$24,8,FALSE)=0,"",VLOOKUP(M285,'R_Häufigkeit_Faktoren UHR'!$B$4:$I$24,8,FALSE)))</f>
        <v/>
      </c>
      <c r="U285" s="156" t="str">
        <f t="shared" si="21"/>
        <v/>
      </c>
      <c r="V285" s="427"/>
      <c r="W285" s="12" t="str">
        <f>IF(T285="","",VLOOKUP(J285,Raumgruppen_Leistungswerte!$B$5:$F$35,5,FALSE))</f>
        <v/>
      </c>
      <c r="X285" s="156" t="str">
        <f t="shared" si="22"/>
        <v/>
      </c>
      <c r="Y285" s="446" t="str">
        <f t="shared" si="23"/>
        <v/>
      </c>
      <c r="Z285" s="158" t="str">
        <f t="shared" si="38"/>
        <v/>
      </c>
      <c r="AA285" s="23" t="str">
        <f t="shared" si="39"/>
        <v/>
      </c>
      <c r="AB285" s="445" t="str">
        <f t="shared" si="40"/>
        <v/>
      </c>
      <c r="AC285" s="123"/>
    </row>
    <row r="286" spans="1:29" ht="12" customHeight="1">
      <c r="A286" s="11">
        <v>282</v>
      </c>
      <c r="B286" s="12" t="s">
        <v>495</v>
      </c>
      <c r="C286" s="17">
        <v>1</v>
      </c>
      <c r="D286" s="19" t="s">
        <v>416</v>
      </c>
      <c r="E286" s="17">
        <v>6</v>
      </c>
      <c r="F286" s="316" t="s">
        <v>524</v>
      </c>
      <c r="G286" s="319">
        <v>21.1</v>
      </c>
      <c r="H286" s="317" t="s">
        <v>418</v>
      </c>
      <c r="I286" s="14" t="s">
        <v>383</v>
      </c>
      <c r="J286" s="21" t="s">
        <v>121</v>
      </c>
      <c r="K286" s="12" t="s">
        <v>173</v>
      </c>
      <c r="L286" s="334" t="str">
        <f t="shared" si="37"/>
        <v/>
      </c>
      <c r="M286" s="22"/>
      <c r="N286" s="78" t="str">
        <f>IF(K286="NV","",IF(VLOOKUP(M286,'R_Häufigkeit_Faktoren UHR'!$B$4:$I$24,7,FALSE)=0,"",VLOOKUP(M286,'R_Häufigkeit_Faktoren UHR'!$B$4:$I$24,7,FALSE)))</f>
        <v/>
      </c>
      <c r="O286" s="3" t="str">
        <f t="shared" si="18"/>
        <v/>
      </c>
      <c r="P286" s="325"/>
      <c r="Q286" s="156" t="str">
        <f>IF(N286="","",VLOOKUP(J286,Raumgruppen_Leistungswerte!$B$5:$F$35,5,FALSE))</f>
        <v/>
      </c>
      <c r="R286" s="157" t="str">
        <f t="shared" si="19"/>
        <v/>
      </c>
      <c r="S286" s="445" t="str">
        <f t="shared" si="20"/>
        <v/>
      </c>
      <c r="T286" s="78" t="str">
        <f>IF(K286="NV","",IF(VLOOKUP(M286,'R_Häufigkeit_Faktoren UHR'!$B$4:$I$24,8,FALSE)=0,"",VLOOKUP(M286,'R_Häufigkeit_Faktoren UHR'!$B$4:$I$24,8,FALSE)))</f>
        <v/>
      </c>
      <c r="U286" s="156" t="str">
        <f t="shared" si="21"/>
        <v/>
      </c>
      <c r="V286" s="427"/>
      <c r="W286" s="12" t="str">
        <f>IF(T286="","",VLOOKUP(J286,Raumgruppen_Leistungswerte!$B$5:$F$35,5,FALSE))</f>
        <v/>
      </c>
      <c r="X286" s="156" t="str">
        <f t="shared" si="22"/>
        <v/>
      </c>
      <c r="Y286" s="446" t="str">
        <f t="shared" si="23"/>
        <v/>
      </c>
      <c r="Z286" s="158" t="str">
        <f t="shared" si="38"/>
        <v/>
      </c>
      <c r="AA286" s="23" t="str">
        <f t="shared" si="39"/>
        <v/>
      </c>
      <c r="AB286" s="445" t="str">
        <f t="shared" si="40"/>
        <v/>
      </c>
      <c r="AC286" s="123"/>
    </row>
    <row r="287" spans="1:29" ht="12" customHeight="1">
      <c r="A287" s="11">
        <v>283</v>
      </c>
      <c r="B287" s="12" t="s">
        <v>495</v>
      </c>
      <c r="C287" s="17">
        <v>1</v>
      </c>
      <c r="D287" s="19" t="s">
        <v>272</v>
      </c>
      <c r="E287" s="17">
        <v>6</v>
      </c>
      <c r="F287" s="316" t="s">
        <v>526</v>
      </c>
      <c r="G287" s="319">
        <v>42</v>
      </c>
      <c r="H287" s="317" t="s">
        <v>365</v>
      </c>
      <c r="I287" s="14" t="s">
        <v>335</v>
      </c>
      <c r="J287" s="21" t="s">
        <v>240</v>
      </c>
      <c r="K287" s="12" t="s">
        <v>14</v>
      </c>
      <c r="L287" s="319">
        <f t="shared" si="37"/>
        <v>42</v>
      </c>
      <c r="M287" s="22">
        <v>3</v>
      </c>
      <c r="N287" s="78">
        <f>IF(K287="NV","",IF(VLOOKUP(M287,'R_Häufigkeit_Faktoren UHR'!$B$4:$I$24,7,FALSE)=0,"",VLOOKUP(M287,'R_Häufigkeit_Faktoren UHR'!$B$4:$I$24,7,FALSE)))</f>
        <v>13.035714285714286</v>
      </c>
      <c r="O287" s="3">
        <f t="shared" si="18"/>
        <v>547.5</v>
      </c>
      <c r="P287" s="325"/>
      <c r="Q287" s="156">
        <f>IF(N287="","",VLOOKUP(J287,Raumgruppen_Leistungswerte!$B$5:$F$35,5,FALSE))</f>
        <v>0</v>
      </c>
      <c r="R287" s="157" t="e">
        <f t="shared" si="19"/>
        <v>#DIV/0!</v>
      </c>
      <c r="S287" s="445" t="e">
        <f t="shared" si="20"/>
        <v>#DIV/0!</v>
      </c>
      <c r="T287" s="78" t="str">
        <f>IF(K287="NV","",IF(VLOOKUP(M287,'R_Häufigkeit_Faktoren UHR'!$B$4:$I$24,8,FALSE)=0,"",VLOOKUP(M287,'R_Häufigkeit_Faktoren UHR'!$B$4:$I$24,8,FALSE)))</f>
        <v/>
      </c>
      <c r="U287" s="156" t="str">
        <f t="shared" si="21"/>
        <v/>
      </c>
      <c r="V287" s="427"/>
      <c r="W287" s="12" t="str">
        <f>IF(T287="","",VLOOKUP(J287,Raumgruppen_Leistungswerte!$B$5:$F$35,5,FALSE))</f>
        <v/>
      </c>
      <c r="X287" s="156" t="str">
        <f t="shared" si="22"/>
        <v/>
      </c>
      <c r="Y287" s="446" t="str">
        <f t="shared" si="23"/>
        <v/>
      </c>
      <c r="Z287" s="158">
        <f t="shared" si="38"/>
        <v>547.5</v>
      </c>
      <c r="AA287" s="23" t="e">
        <f t="shared" si="39"/>
        <v>#DIV/0!</v>
      </c>
      <c r="AB287" s="445" t="e">
        <f t="shared" si="40"/>
        <v>#DIV/0!</v>
      </c>
      <c r="AC287" s="123"/>
    </row>
    <row r="288" spans="1:29" ht="12" customHeight="1">
      <c r="A288" s="11">
        <v>284</v>
      </c>
      <c r="B288" s="12" t="s">
        <v>495</v>
      </c>
      <c r="C288" s="17">
        <v>1</v>
      </c>
      <c r="D288" s="19" t="s">
        <v>496</v>
      </c>
      <c r="E288" s="17">
        <v>6</v>
      </c>
      <c r="F288" s="316" t="s">
        <v>559</v>
      </c>
      <c r="G288" s="319">
        <v>17.5</v>
      </c>
      <c r="H288" s="317" t="s">
        <v>415</v>
      </c>
      <c r="I288" s="20" t="s">
        <v>383</v>
      </c>
      <c r="J288" s="21" t="s">
        <v>245</v>
      </c>
      <c r="K288" s="12" t="s">
        <v>14</v>
      </c>
      <c r="L288" s="334">
        <f t="shared" si="37"/>
        <v>17.5</v>
      </c>
      <c r="M288" s="22">
        <v>5</v>
      </c>
      <c r="N288" s="78">
        <f>IF(K288="NV","",IF(VLOOKUP(M288,'R_Häufigkeit_Faktoren UHR'!$B$4:$I$24,7,FALSE)=0,"",VLOOKUP(M288,'R_Häufigkeit_Faktoren UHR'!$B$4:$I$24,7,FALSE)))</f>
        <v>20.917857142857144</v>
      </c>
      <c r="O288" s="3">
        <f t="shared" si="18"/>
        <v>366.0625</v>
      </c>
      <c r="P288" s="325"/>
      <c r="Q288" s="156">
        <f>IF(N288="","",VLOOKUP(J288,Raumgruppen_Leistungswerte!$B$5:$F$35,5,FALSE))</f>
        <v>0</v>
      </c>
      <c r="R288" s="157" t="e">
        <f t="shared" si="19"/>
        <v>#DIV/0!</v>
      </c>
      <c r="S288" s="445" t="e">
        <f t="shared" si="20"/>
        <v>#DIV/0!</v>
      </c>
      <c r="T288" s="78" t="str">
        <f>IF(K288="NV","",IF(VLOOKUP(M288,'R_Häufigkeit_Faktoren UHR'!$B$4:$I$24,8,FALSE)=0,"",VLOOKUP(M288,'R_Häufigkeit_Faktoren UHR'!$B$4:$I$24,8,FALSE)))</f>
        <v/>
      </c>
      <c r="U288" s="156" t="str">
        <f t="shared" si="21"/>
        <v/>
      </c>
      <c r="V288" s="427"/>
      <c r="W288" s="12" t="str">
        <f>IF(T288="","",VLOOKUP(J288,Raumgruppen_Leistungswerte!$B$5:$F$35,5,FALSE))</f>
        <v/>
      </c>
      <c r="X288" s="156" t="str">
        <f t="shared" si="22"/>
        <v/>
      </c>
      <c r="Y288" s="446" t="str">
        <f t="shared" si="23"/>
        <v/>
      </c>
      <c r="Z288" s="158">
        <f t="shared" si="38"/>
        <v>366.0625</v>
      </c>
      <c r="AA288" s="23" t="e">
        <f t="shared" si="39"/>
        <v>#DIV/0!</v>
      </c>
      <c r="AB288" s="445" t="e">
        <f t="shared" si="40"/>
        <v>#DIV/0!</v>
      </c>
      <c r="AC288" s="123"/>
    </row>
    <row r="289" spans="1:29" ht="12" customHeight="1">
      <c r="A289" s="11">
        <v>285</v>
      </c>
      <c r="B289" s="12" t="s">
        <v>495</v>
      </c>
      <c r="C289" s="17">
        <v>1</v>
      </c>
      <c r="D289" s="19" t="s">
        <v>556</v>
      </c>
      <c r="E289" s="17">
        <v>6</v>
      </c>
      <c r="F289" s="316" t="s">
        <v>560</v>
      </c>
      <c r="G289" s="319">
        <v>1.3</v>
      </c>
      <c r="H289" s="317" t="s">
        <v>381</v>
      </c>
      <c r="I289" s="20" t="s">
        <v>383</v>
      </c>
      <c r="J289" s="21" t="s">
        <v>245</v>
      </c>
      <c r="K289" s="12" t="s">
        <v>14</v>
      </c>
      <c r="L289" s="334">
        <f t="shared" si="37"/>
        <v>1.3</v>
      </c>
      <c r="M289" s="22">
        <v>5</v>
      </c>
      <c r="N289" s="78">
        <f>IF(K289="NV","",IF(VLOOKUP(M289,'R_Häufigkeit_Faktoren UHR'!$B$4:$I$24,7,FALSE)=0,"",VLOOKUP(M289,'R_Häufigkeit_Faktoren UHR'!$B$4:$I$24,7,FALSE)))</f>
        <v>20.917857142857144</v>
      </c>
      <c r="O289" s="3">
        <f t="shared" si="18"/>
        <v>27.193214285714287</v>
      </c>
      <c r="P289" s="325"/>
      <c r="Q289" s="156">
        <f>IF(N289="","",VLOOKUP(J289,Raumgruppen_Leistungswerte!$B$5:$F$35,5,FALSE))</f>
        <v>0</v>
      </c>
      <c r="R289" s="157" t="e">
        <f t="shared" si="19"/>
        <v>#DIV/0!</v>
      </c>
      <c r="S289" s="445" t="e">
        <f t="shared" si="20"/>
        <v>#DIV/0!</v>
      </c>
      <c r="T289" s="78" t="str">
        <f>IF(K289="NV","",IF(VLOOKUP(M289,'R_Häufigkeit_Faktoren UHR'!$B$4:$I$24,8,FALSE)=0,"",VLOOKUP(M289,'R_Häufigkeit_Faktoren UHR'!$B$4:$I$24,8,FALSE)))</f>
        <v/>
      </c>
      <c r="U289" s="156" t="str">
        <f t="shared" si="21"/>
        <v/>
      </c>
      <c r="V289" s="427"/>
      <c r="W289" s="12" t="str">
        <f>IF(T289="","",VLOOKUP(J289,Raumgruppen_Leistungswerte!$B$5:$F$35,5,FALSE))</f>
        <v/>
      </c>
      <c r="X289" s="156" t="str">
        <f t="shared" si="22"/>
        <v/>
      </c>
      <c r="Y289" s="446" t="str">
        <f t="shared" si="23"/>
        <v/>
      </c>
      <c r="Z289" s="158">
        <f t="shared" si="38"/>
        <v>27.193214285714287</v>
      </c>
      <c r="AA289" s="23" t="e">
        <f t="shared" si="39"/>
        <v>#DIV/0!</v>
      </c>
      <c r="AB289" s="445" t="e">
        <f t="shared" si="40"/>
        <v>#DIV/0!</v>
      </c>
      <c r="AC289" s="123"/>
    </row>
    <row r="290" spans="1:29" ht="12" customHeight="1">
      <c r="A290" s="11">
        <v>286</v>
      </c>
      <c r="B290" s="12" t="s">
        <v>495</v>
      </c>
      <c r="C290" s="17">
        <v>1</v>
      </c>
      <c r="D290" s="19" t="s">
        <v>496</v>
      </c>
      <c r="E290" s="17">
        <v>7</v>
      </c>
      <c r="F290" s="316" t="s">
        <v>561</v>
      </c>
      <c r="G290" s="319">
        <v>12.5</v>
      </c>
      <c r="H290" s="317" t="s">
        <v>322</v>
      </c>
      <c r="I290" s="14" t="s">
        <v>383</v>
      </c>
      <c r="J290" s="21" t="s">
        <v>121</v>
      </c>
      <c r="K290" s="12" t="s">
        <v>14</v>
      </c>
      <c r="L290" s="334">
        <f t="shared" si="37"/>
        <v>12.5</v>
      </c>
      <c r="M290" s="22">
        <v>1</v>
      </c>
      <c r="N290" s="78">
        <f>IF(K290="NV","",IF(VLOOKUP(M290,'R_Häufigkeit_Faktoren UHR'!$B$4:$I$24,7,FALSE)=0,"",VLOOKUP(M290,'R_Häufigkeit_Faktoren UHR'!$B$4:$I$24,7,FALSE)))</f>
        <v>4.3452380952380958</v>
      </c>
      <c r="O290" s="3">
        <f t="shared" si="18"/>
        <v>54.315476190476197</v>
      </c>
      <c r="P290" s="325"/>
      <c r="Q290" s="156">
        <f>IF(N290="","",VLOOKUP(J290,Raumgruppen_Leistungswerte!$B$5:$F$35,5,FALSE))</f>
        <v>0</v>
      </c>
      <c r="R290" s="157" t="e">
        <f t="shared" si="19"/>
        <v>#DIV/0!</v>
      </c>
      <c r="S290" s="445" t="e">
        <f t="shared" si="20"/>
        <v>#DIV/0!</v>
      </c>
      <c r="T290" s="78" t="str">
        <f>IF(K290="NV","",IF(VLOOKUP(M290,'R_Häufigkeit_Faktoren UHR'!$B$4:$I$24,8,FALSE)=0,"",VLOOKUP(M290,'R_Häufigkeit_Faktoren UHR'!$B$4:$I$24,8,FALSE)))</f>
        <v/>
      </c>
      <c r="U290" s="156" t="str">
        <f t="shared" si="21"/>
        <v/>
      </c>
      <c r="V290" s="427"/>
      <c r="W290" s="12" t="str">
        <f>IF(T290="","",VLOOKUP(J290,Raumgruppen_Leistungswerte!$B$5:$F$35,5,FALSE))</f>
        <v/>
      </c>
      <c r="X290" s="156" t="str">
        <f t="shared" si="22"/>
        <v/>
      </c>
      <c r="Y290" s="446" t="str">
        <f t="shared" si="23"/>
        <v/>
      </c>
      <c r="Z290" s="158">
        <f t="shared" si="38"/>
        <v>54.315476190476197</v>
      </c>
      <c r="AA290" s="23" t="e">
        <f t="shared" si="39"/>
        <v>#DIV/0!</v>
      </c>
      <c r="AB290" s="445" t="e">
        <f t="shared" si="40"/>
        <v>#DIV/0!</v>
      </c>
      <c r="AC290" s="123"/>
    </row>
    <row r="291" spans="1:29" ht="12" customHeight="1">
      <c r="A291" s="11">
        <v>287</v>
      </c>
      <c r="B291" s="12" t="s">
        <v>495</v>
      </c>
      <c r="C291" s="17">
        <v>1</v>
      </c>
      <c r="D291" s="19" t="s">
        <v>496</v>
      </c>
      <c r="E291" s="17">
        <v>7</v>
      </c>
      <c r="F291" s="316" t="s">
        <v>562</v>
      </c>
      <c r="G291" s="319">
        <v>88.9</v>
      </c>
      <c r="H291" s="317" t="s">
        <v>13</v>
      </c>
      <c r="I291" s="14" t="s">
        <v>383</v>
      </c>
      <c r="J291" s="21" t="s">
        <v>238</v>
      </c>
      <c r="K291" s="12" t="s">
        <v>14</v>
      </c>
      <c r="L291" s="319">
        <f t="shared" si="37"/>
        <v>88.9</v>
      </c>
      <c r="M291" s="22">
        <v>5</v>
      </c>
      <c r="N291" s="78">
        <f>IF(K291="NV","",IF(VLOOKUP(M291,'R_Häufigkeit_Faktoren UHR'!$B$4:$I$24,7,FALSE)=0,"",VLOOKUP(M291,'R_Häufigkeit_Faktoren UHR'!$B$4:$I$24,7,FALSE)))</f>
        <v>20.917857142857144</v>
      </c>
      <c r="O291" s="3">
        <f t="shared" si="18"/>
        <v>1859.5975000000003</v>
      </c>
      <c r="P291" s="325"/>
      <c r="Q291" s="156">
        <f>IF(N291="","",VLOOKUP(J291,Raumgruppen_Leistungswerte!$B$5:$F$35,5,FALSE))</f>
        <v>0</v>
      </c>
      <c r="R291" s="157" t="e">
        <f t="shared" si="19"/>
        <v>#DIV/0!</v>
      </c>
      <c r="S291" s="445" t="e">
        <f t="shared" si="20"/>
        <v>#DIV/0!</v>
      </c>
      <c r="T291" s="78" t="str">
        <f>IF(K291="NV","",IF(VLOOKUP(M291,'R_Häufigkeit_Faktoren UHR'!$B$4:$I$24,8,FALSE)=0,"",VLOOKUP(M291,'R_Häufigkeit_Faktoren UHR'!$B$4:$I$24,8,FALSE)))</f>
        <v/>
      </c>
      <c r="U291" s="156" t="str">
        <f t="shared" si="21"/>
        <v/>
      </c>
      <c r="V291" s="427"/>
      <c r="W291" s="12" t="str">
        <f>IF(T291="","",VLOOKUP(J291,Raumgruppen_Leistungswerte!$B$5:$F$35,5,FALSE))</f>
        <v/>
      </c>
      <c r="X291" s="156" t="str">
        <f t="shared" si="22"/>
        <v/>
      </c>
      <c r="Y291" s="446" t="str">
        <f t="shared" si="23"/>
        <v/>
      </c>
      <c r="Z291" s="158">
        <f t="shared" si="38"/>
        <v>1859.5975000000003</v>
      </c>
      <c r="AA291" s="23" t="e">
        <f t="shared" si="39"/>
        <v>#DIV/0!</v>
      </c>
      <c r="AB291" s="445" t="e">
        <f t="shared" si="40"/>
        <v>#DIV/0!</v>
      </c>
      <c r="AC291" s="123"/>
    </row>
    <row r="292" spans="1:29" ht="12" customHeight="1">
      <c r="A292" s="11">
        <v>288</v>
      </c>
      <c r="B292" s="12" t="s">
        <v>495</v>
      </c>
      <c r="C292" s="17">
        <v>1</v>
      </c>
      <c r="D292" s="19" t="s">
        <v>496</v>
      </c>
      <c r="E292" s="17">
        <v>7</v>
      </c>
      <c r="F292" s="316" t="s">
        <v>563</v>
      </c>
      <c r="G292" s="319">
        <v>60.3</v>
      </c>
      <c r="H292" s="317" t="s">
        <v>513</v>
      </c>
      <c r="I292" s="14" t="s">
        <v>383</v>
      </c>
      <c r="J292" s="21" t="s">
        <v>219</v>
      </c>
      <c r="K292" s="12" t="s">
        <v>14</v>
      </c>
      <c r="L292" s="319">
        <f t="shared" si="37"/>
        <v>60.3</v>
      </c>
      <c r="M292" s="22">
        <v>5</v>
      </c>
      <c r="N292" s="78">
        <f>IF(K292="NV","",IF(VLOOKUP(M292,'R_Häufigkeit_Faktoren UHR'!$B$4:$I$24,7,FALSE)=0,"",VLOOKUP(M292,'R_Häufigkeit_Faktoren UHR'!$B$4:$I$24,7,FALSE)))</f>
        <v>20.917857142857144</v>
      </c>
      <c r="O292" s="3">
        <f t="shared" si="18"/>
        <v>1261.3467857142857</v>
      </c>
      <c r="P292" s="325"/>
      <c r="Q292" s="156">
        <f>IF(N292="","",VLOOKUP(J292,Raumgruppen_Leistungswerte!$B$5:$F$35,5,FALSE))</f>
        <v>0</v>
      </c>
      <c r="R292" s="157" t="e">
        <f t="shared" si="19"/>
        <v>#DIV/0!</v>
      </c>
      <c r="S292" s="445" t="e">
        <f t="shared" si="20"/>
        <v>#DIV/0!</v>
      </c>
      <c r="T292" s="78" t="str">
        <f>IF(K292="NV","",IF(VLOOKUP(M292,'R_Häufigkeit_Faktoren UHR'!$B$4:$I$24,8,FALSE)=0,"",VLOOKUP(M292,'R_Häufigkeit_Faktoren UHR'!$B$4:$I$24,8,FALSE)))</f>
        <v/>
      </c>
      <c r="U292" s="156" t="str">
        <f t="shared" si="21"/>
        <v/>
      </c>
      <c r="V292" s="427"/>
      <c r="W292" s="12" t="str">
        <f>IF(T292="","",VLOOKUP(J292,Raumgruppen_Leistungswerte!$B$5:$F$35,5,FALSE))</f>
        <v/>
      </c>
      <c r="X292" s="156" t="str">
        <f t="shared" si="22"/>
        <v/>
      </c>
      <c r="Y292" s="446" t="str">
        <f t="shared" si="23"/>
        <v/>
      </c>
      <c r="Z292" s="158">
        <f t="shared" si="38"/>
        <v>1261.3467857142857</v>
      </c>
      <c r="AA292" s="23" t="e">
        <f t="shared" si="39"/>
        <v>#DIV/0!</v>
      </c>
      <c r="AB292" s="445" t="e">
        <f t="shared" si="40"/>
        <v>#DIV/0!</v>
      </c>
      <c r="AC292" s="123"/>
    </row>
    <row r="293" spans="1:29" ht="12" customHeight="1">
      <c r="A293" s="11">
        <v>289</v>
      </c>
      <c r="B293" s="12" t="s">
        <v>495</v>
      </c>
      <c r="C293" s="17">
        <v>1</v>
      </c>
      <c r="D293" s="19" t="s">
        <v>496</v>
      </c>
      <c r="E293" s="17">
        <v>7</v>
      </c>
      <c r="F293" s="316" t="s">
        <v>564</v>
      </c>
      <c r="G293" s="319">
        <v>60.6</v>
      </c>
      <c r="H293" s="317" t="s">
        <v>513</v>
      </c>
      <c r="I293" s="14" t="s">
        <v>383</v>
      </c>
      <c r="J293" s="21" t="s">
        <v>219</v>
      </c>
      <c r="K293" s="12" t="s">
        <v>14</v>
      </c>
      <c r="L293" s="319">
        <f t="shared" si="37"/>
        <v>60.6</v>
      </c>
      <c r="M293" s="22">
        <v>5</v>
      </c>
      <c r="N293" s="78">
        <f>IF(K293="NV","",IF(VLOOKUP(M293,'R_Häufigkeit_Faktoren UHR'!$B$4:$I$24,7,FALSE)=0,"",VLOOKUP(M293,'R_Häufigkeit_Faktoren UHR'!$B$4:$I$24,7,FALSE)))</f>
        <v>20.917857142857144</v>
      </c>
      <c r="O293" s="3">
        <f t="shared" si="18"/>
        <v>1267.622142857143</v>
      </c>
      <c r="P293" s="325"/>
      <c r="Q293" s="156">
        <f>IF(N293="","",VLOOKUP(J293,Raumgruppen_Leistungswerte!$B$5:$F$35,5,FALSE))</f>
        <v>0</v>
      </c>
      <c r="R293" s="157" t="e">
        <f t="shared" si="19"/>
        <v>#DIV/0!</v>
      </c>
      <c r="S293" s="445" t="e">
        <f t="shared" si="20"/>
        <v>#DIV/0!</v>
      </c>
      <c r="T293" s="78" t="str">
        <f>IF(K293="NV","",IF(VLOOKUP(M293,'R_Häufigkeit_Faktoren UHR'!$B$4:$I$24,8,FALSE)=0,"",VLOOKUP(M293,'R_Häufigkeit_Faktoren UHR'!$B$4:$I$24,8,FALSE)))</f>
        <v/>
      </c>
      <c r="U293" s="156" t="str">
        <f t="shared" si="21"/>
        <v/>
      </c>
      <c r="V293" s="427"/>
      <c r="W293" s="12" t="str">
        <f>IF(T293="","",VLOOKUP(J293,Raumgruppen_Leistungswerte!$B$5:$F$35,5,FALSE))</f>
        <v/>
      </c>
      <c r="X293" s="156" t="str">
        <f t="shared" si="22"/>
        <v/>
      </c>
      <c r="Y293" s="446" t="str">
        <f t="shared" si="23"/>
        <v/>
      </c>
      <c r="Z293" s="158">
        <f t="shared" si="38"/>
        <v>1267.622142857143</v>
      </c>
      <c r="AA293" s="23" t="e">
        <f t="shared" si="39"/>
        <v>#DIV/0!</v>
      </c>
      <c r="AB293" s="445" t="e">
        <f t="shared" si="40"/>
        <v>#DIV/0!</v>
      </c>
      <c r="AC293" s="123"/>
    </row>
    <row r="294" spans="1:29" ht="12" customHeight="1">
      <c r="A294" s="11">
        <v>290</v>
      </c>
      <c r="B294" s="12" t="s">
        <v>495</v>
      </c>
      <c r="C294" s="17">
        <v>1</v>
      </c>
      <c r="D294" s="19" t="s">
        <v>496</v>
      </c>
      <c r="E294" s="17">
        <v>7</v>
      </c>
      <c r="F294" s="316" t="s">
        <v>565</v>
      </c>
      <c r="G294" s="319">
        <v>29.8</v>
      </c>
      <c r="H294" s="317" t="s">
        <v>537</v>
      </c>
      <c r="I294" s="20" t="s">
        <v>383</v>
      </c>
      <c r="J294" s="15" t="s">
        <v>219</v>
      </c>
      <c r="K294" s="12" t="s">
        <v>14</v>
      </c>
      <c r="L294" s="319">
        <f t="shared" si="37"/>
        <v>29.8</v>
      </c>
      <c r="M294" s="22">
        <v>5</v>
      </c>
      <c r="N294" s="78">
        <f>IF(K294="NV","",IF(VLOOKUP(M294,'R_Häufigkeit_Faktoren UHR'!$B$4:$I$24,7,FALSE)=0,"",VLOOKUP(M294,'R_Häufigkeit_Faktoren UHR'!$B$4:$I$24,7,FALSE)))</f>
        <v>20.917857142857144</v>
      </c>
      <c r="O294" s="3">
        <f t="shared" si="18"/>
        <v>623.35214285714289</v>
      </c>
      <c r="P294" s="325"/>
      <c r="Q294" s="156">
        <f>IF(N294="","",VLOOKUP(J294,Raumgruppen_Leistungswerte!$B$5:$F$35,5,FALSE))</f>
        <v>0</v>
      </c>
      <c r="R294" s="157" t="e">
        <f t="shared" si="19"/>
        <v>#DIV/0!</v>
      </c>
      <c r="S294" s="445" t="e">
        <f t="shared" si="20"/>
        <v>#DIV/0!</v>
      </c>
      <c r="T294" s="78" t="str">
        <f>IF(K294="NV","",IF(VLOOKUP(M294,'R_Häufigkeit_Faktoren UHR'!$B$4:$I$24,8,FALSE)=0,"",VLOOKUP(M294,'R_Häufigkeit_Faktoren UHR'!$B$4:$I$24,8,FALSE)))</f>
        <v/>
      </c>
      <c r="U294" s="156" t="str">
        <f t="shared" si="21"/>
        <v/>
      </c>
      <c r="V294" s="427"/>
      <c r="W294" s="12" t="str">
        <f>IF(T294="","",VLOOKUP(J294,Raumgruppen_Leistungswerte!$B$5:$F$35,5,FALSE))</f>
        <v/>
      </c>
      <c r="X294" s="156" t="str">
        <f t="shared" si="22"/>
        <v/>
      </c>
      <c r="Y294" s="446" t="str">
        <f t="shared" si="23"/>
        <v/>
      </c>
      <c r="Z294" s="158">
        <f t="shared" si="38"/>
        <v>623.35214285714289</v>
      </c>
      <c r="AA294" s="23" t="e">
        <f t="shared" si="39"/>
        <v>#DIV/0!</v>
      </c>
      <c r="AB294" s="445" t="e">
        <f t="shared" si="40"/>
        <v>#DIV/0!</v>
      </c>
      <c r="AC294" s="123"/>
    </row>
    <row r="295" spans="1:29" ht="12" customHeight="1">
      <c r="A295" s="11">
        <v>291</v>
      </c>
      <c r="B295" s="12" t="s">
        <v>495</v>
      </c>
      <c r="C295" s="17">
        <v>1</v>
      </c>
      <c r="D295" s="19" t="s">
        <v>556</v>
      </c>
      <c r="E295" s="17">
        <v>7</v>
      </c>
      <c r="F295" s="316" t="s">
        <v>566</v>
      </c>
      <c r="G295" s="319">
        <v>56.7</v>
      </c>
      <c r="H295" s="317" t="s">
        <v>513</v>
      </c>
      <c r="I295" s="14" t="s">
        <v>383</v>
      </c>
      <c r="J295" s="21" t="s">
        <v>219</v>
      </c>
      <c r="K295" s="12" t="s">
        <v>14</v>
      </c>
      <c r="L295" s="319">
        <f t="shared" si="37"/>
        <v>56.7</v>
      </c>
      <c r="M295" s="22">
        <v>5</v>
      </c>
      <c r="N295" s="78">
        <f>IF(K295="NV","",IF(VLOOKUP(M295,'R_Häufigkeit_Faktoren UHR'!$B$4:$I$24,7,FALSE)=0,"",VLOOKUP(M295,'R_Häufigkeit_Faktoren UHR'!$B$4:$I$24,7,FALSE)))</f>
        <v>20.917857142857144</v>
      </c>
      <c r="O295" s="3">
        <f t="shared" si="18"/>
        <v>1186.0425000000002</v>
      </c>
      <c r="P295" s="325"/>
      <c r="Q295" s="156">
        <f>IF(N295="","",VLOOKUP(J295,Raumgruppen_Leistungswerte!$B$5:$F$35,5,FALSE))</f>
        <v>0</v>
      </c>
      <c r="R295" s="157" t="e">
        <f t="shared" si="19"/>
        <v>#DIV/0!</v>
      </c>
      <c r="S295" s="445" t="e">
        <f t="shared" si="20"/>
        <v>#DIV/0!</v>
      </c>
      <c r="T295" s="78" t="str">
        <f>IF(K295="NV","",IF(VLOOKUP(M295,'R_Häufigkeit_Faktoren UHR'!$B$4:$I$24,8,FALSE)=0,"",VLOOKUP(M295,'R_Häufigkeit_Faktoren UHR'!$B$4:$I$24,8,FALSE)))</f>
        <v/>
      </c>
      <c r="U295" s="156" t="str">
        <f t="shared" si="21"/>
        <v/>
      </c>
      <c r="V295" s="427"/>
      <c r="W295" s="12" t="str">
        <f>IF(T295="","",VLOOKUP(J295,Raumgruppen_Leistungswerte!$B$5:$F$35,5,FALSE))</f>
        <v/>
      </c>
      <c r="X295" s="156" t="str">
        <f t="shared" si="22"/>
        <v/>
      </c>
      <c r="Y295" s="446" t="str">
        <f t="shared" si="23"/>
        <v/>
      </c>
      <c r="Z295" s="158">
        <f t="shared" si="38"/>
        <v>1186.0425000000002</v>
      </c>
      <c r="AA295" s="23" t="e">
        <f t="shared" si="39"/>
        <v>#DIV/0!</v>
      </c>
      <c r="AB295" s="445" t="e">
        <f t="shared" si="40"/>
        <v>#DIV/0!</v>
      </c>
      <c r="AC295" s="123"/>
    </row>
    <row r="296" spans="1:29" ht="12" customHeight="1">
      <c r="A296" s="11">
        <v>292</v>
      </c>
      <c r="B296" s="12" t="s">
        <v>495</v>
      </c>
      <c r="C296" s="17">
        <v>1</v>
      </c>
      <c r="D296" s="19" t="s">
        <v>496</v>
      </c>
      <c r="E296" s="17">
        <v>7</v>
      </c>
      <c r="F296" s="316" t="s">
        <v>533</v>
      </c>
      <c r="G296" s="319">
        <v>13.9</v>
      </c>
      <c r="H296" s="317" t="s">
        <v>385</v>
      </c>
      <c r="I296" s="20" t="s">
        <v>406</v>
      </c>
      <c r="J296" s="21" t="s">
        <v>1</v>
      </c>
      <c r="K296" s="12" t="s">
        <v>14</v>
      </c>
      <c r="L296" s="319">
        <f t="shared" si="37"/>
        <v>13.9</v>
      </c>
      <c r="M296" s="22">
        <v>5</v>
      </c>
      <c r="N296" s="79">
        <f>IF(K296="NV","",IF(VLOOKUP(M296,'R_Häufigkeit_Faktoren UHR'!$B$4:$I$24,7,FALSE)=0,"",VLOOKUP(M296,'R_Häufigkeit_Faktoren UHR'!$B$4:$I$24,7,FALSE)))</f>
        <v>20.917857142857144</v>
      </c>
      <c r="O296" s="3">
        <f t="shared" si="18"/>
        <v>290.7582142857143</v>
      </c>
      <c r="P296" s="325"/>
      <c r="Q296" s="156">
        <f>IF(N296="","",VLOOKUP(J296,Raumgruppen_Leistungswerte!$B$5:$F$35,5,FALSE))</f>
        <v>0</v>
      </c>
      <c r="R296" s="157" t="e">
        <f t="shared" si="19"/>
        <v>#DIV/0!</v>
      </c>
      <c r="S296" s="445" t="e">
        <f t="shared" si="20"/>
        <v>#DIV/0!</v>
      </c>
      <c r="T296" s="78" t="str">
        <f>IF(K296="NV","",IF(VLOOKUP(M296,'R_Häufigkeit_Faktoren UHR'!$B$4:$I$24,8,FALSE)=0,"",VLOOKUP(M296,'R_Häufigkeit_Faktoren UHR'!$B$4:$I$24,8,FALSE)))</f>
        <v/>
      </c>
      <c r="U296" s="156" t="str">
        <f t="shared" si="21"/>
        <v/>
      </c>
      <c r="V296" s="427"/>
      <c r="W296" s="12" t="str">
        <f>IF(T296="","",VLOOKUP(J296,Raumgruppen_Leistungswerte!$B$5:$F$35,5,FALSE))</f>
        <v/>
      </c>
      <c r="X296" s="156" t="str">
        <f t="shared" si="22"/>
        <v/>
      </c>
      <c r="Y296" s="446" t="str">
        <f t="shared" si="23"/>
        <v/>
      </c>
      <c r="Z296" s="158">
        <f t="shared" si="38"/>
        <v>290.7582142857143</v>
      </c>
      <c r="AA296" s="23" t="e">
        <f t="shared" si="39"/>
        <v>#DIV/0!</v>
      </c>
      <c r="AB296" s="445" t="e">
        <f t="shared" si="40"/>
        <v>#DIV/0!</v>
      </c>
      <c r="AC296" s="123"/>
    </row>
    <row r="297" spans="1:29" ht="12" customHeight="1">
      <c r="A297" s="11">
        <v>293</v>
      </c>
      <c r="B297" s="12" t="s">
        <v>495</v>
      </c>
      <c r="C297" s="17">
        <v>1</v>
      </c>
      <c r="D297" s="19" t="s">
        <v>496</v>
      </c>
      <c r="E297" s="17">
        <v>7</v>
      </c>
      <c r="F297" s="316" t="s">
        <v>534</v>
      </c>
      <c r="G297" s="319">
        <v>6.1</v>
      </c>
      <c r="H297" s="317" t="s">
        <v>425</v>
      </c>
      <c r="I297" s="20" t="s">
        <v>406</v>
      </c>
      <c r="J297" s="21" t="s">
        <v>1</v>
      </c>
      <c r="K297" s="12" t="s">
        <v>14</v>
      </c>
      <c r="L297" s="319">
        <f t="shared" si="37"/>
        <v>6.1</v>
      </c>
      <c r="M297" s="22">
        <v>5</v>
      </c>
      <c r="N297" s="78">
        <f>IF(K297="NV","",IF(VLOOKUP(M297,'R_Häufigkeit_Faktoren UHR'!$B$4:$I$24,7,FALSE)=0,"",VLOOKUP(M297,'R_Häufigkeit_Faktoren UHR'!$B$4:$I$24,7,FALSE)))</f>
        <v>20.917857142857144</v>
      </c>
      <c r="O297" s="3">
        <f t="shared" ref="O297:O360" si="41">IF(N297="","",N297*L297)</f>
        <v>127.59892857142857</v>
      </c>
      <c r="P297" s="325"/>
      <c r="Q297" s="156">
        <f>IF(N297="","",VLOOKUP(J297,Raumgruppen_Leistungswerte!$B$5:$F$35,5,FALSE))</f>
        <v>0</v>
      </c>
      <c r="R297" s="157" t="e">
        <f t="shared" ref="R297:R360" si="42">IF(N297="","",L297/Q297*N297)</f>
        <v>#DIV/0!</v>
      </c>
      <c r="S297" s="445" t="e">
        <f t="shared" ref="S297:S360" si="43">IF(K297="NV","",R297*P297)</f>
        <v>#DIV/0!</v>
      </c>
      <c r="T297" s="78" t="str">
        <f>IF(K297="NV","",IF(VLOOKUP(M297,'R_Häufigkeit_Faktoren UHR'!$B$4:$I$24,8,FALSE)=0,"",VLOOKUP(M297,'R_Häufigkeit_Faktoren UHR'!$B$4:$I$24,8,FALSE)))</f>
        <v/>
      </c>
      <c r="U297" s="156" t="str">
        <f t="shared" ref="U297:U360" si="44">IF(T297="","",T297*L297)</f>
        <v/>
      </c>
      <c r="V297" s="427"/>
      <c r="W297" s="12" t="str">
        <f>IF(T297="","",VLOOKUP(J297,Raumgruppen_Leistungswerte!$B$5:$F$35,5,FALSE))</f>
        <v/>
      </c>
      <c r="X297" s="156" t="str">
        <f t="shared" ref="X297:X360" si="45">IF(T297="","",L297/W297*T297)</f>
        <v/>
      </c>
      <c r="Y297" s="446" t="str">
        <f t="shared" ref="Y297:Y360" si="46">IF(T297="","",X297*V297)</f>
        <v/>
      </c>
      <c r="Z297" s="158">
        <f t="shared" si="38"/>
        <v>127.59892857142857</v>
      </c>
      <c r="AA297" s="23" t="e">
        <f t="shared" si="39"/>
        <v>#DIV/0!</v>
      </c>
      <c r="AB297" s="445" t="e">
        <f t="shared" si="40"/>
        <v>#DIV/0!</v>
      </c>
      <c r="AC297" s="123"/>
    </row>
    <row r="298" spans="1:29" ht="12" customHeight="1">
      <c r="A298" s="11">
        <v>294</v>
      </c>
      <c r="B298" s="12" t="s">
        <v>495</v>
      </c>
      <c r="C298" s="17">
        <v>1</v>
      </c>
      <c r="D298" s="19" t="s">
        <v>496</v>
      </c>
      <c r="E298" s="17">
        <v>7</v>
      </c>
      <c r="F298" s="316" t="s">
        <v>535</v>
      </c>
      <c r="G298" s="319">
        <v>18.3</v>
      </c>
      <c r="H298" s="317" t="s">
        <v>387</v>
      </c>
      <c r="I298" s="20" t="s">
        <v>406</v>
      </c>
      <c r="J298" s="21" t="s">
        <v>1</v>
      </c>
      <c r="K298" s="12" t="s">
        <v>14</v>
      </c>
      <c r="L298" s="319">
        <f t="shared" si="37"/>
        <v>18.3</v>
      </c>
      <c r="M298" s="22">
        <v>5</v>
      </c>
      <c r="N298" s="78">
        <f>IF(K298="NV","",IF(VLOOKUP(M298,'R_Häufigkeit_Faktoren UHR'!$B$4:$I$24,7,FALSE)=0,"",VLOOKUP(M298,'R_Häufigkeit_Faktoren UHR'!$B$4:$I$24,7,FALSE)))</f>
        <v>20.917857142857144</v>
      </c>
      <c r="O298" s="3">
        <f t="shared" si="41"/>
        <v>382.79678571428576</v>
      </c>
      <c r="P298" s="325"/>
      <c r="Q298" s="156">
        <f>IF(N298="","",VLOOKUP(J298,Raumgruppen_Leistungswerte!$B$5:$F$35,5,FALSE))</f>
        <v>0</v>
      </c>
      <c r="R298" s="157" t="e">
        <f t="shared" si="42"/>
        <v>#DIV/0!</v>
      </c>
      <c r="S298" s="445" t="e">
        <f t="shared" si="43"/>
        <v>#DIV/0!</v>
      </c>
      <c r="T298" s="78" t="str">
        <f>IF(K298="NV","",IF(VLOOKUP(M298,'R_Häufigkeit_Faktoren UHR'!$B$4:$I$24,8,FALSE)=0,"",VLOOKUP(M298,'R_Häufigkeit_Faktoren UHR'!$B$4:$I$24,8,FALSE)))</f>
        <v/>
      </c>
      <c r="U298" s="156" t="str">
        <f t="shared" si="44"/>
        <v/>
      </c>
      <c r="V298" s="427"/>
      <c r="W298" s="12" t="str">
        <f>IF(T298="","",VLOOKUP(J298,Raumgruppen_Leistungswerte!$B$5:$F$35,5,FALSE))</f>
        <v/>
      </c>
      <c r="X298" s="156" t="str">
        <f t="shared" si="45"/>
        <v/>
      </c>
      <c r="Y298" s="446" t="str">
        <f t="shared" si="46"/>
        <v/>
      </c>
      <c r="Z298" s="158">
        <f t="shared" si="38"/>
        <v>382.79678571428576</v>
      </c>
      <c r="AA298" s="23" t="e">
        <f t="shared" si="39"/>
        <v>#DIV/0!</v>
      </c>
      <c r="AB298" s="445" t="e">
        <f t="shared" si="40"/>
        <v>#DIV/0!</v>
      </c>
      <c r="AC298" s="123"/>
    </row>
    <row r="299" spans="1:29" ht="12" customHeight="1">
      <c r="A299" s="11">
        <v>295</v>
      </c>
      <c r="B299" s="12" t="s">
        <v>495</v>
      </c>
      <c r="C299" s="17">
        <v>1</v>
      </c>
      <c r="D299" s="19" t="s">
        <v>556</v>
      </c>
      <c r="E299" s="17">
        <v>7</v>
      </c>
      <c r="F299" s="316" t="s">
        <v>567</v>
      </c>
      <c r="G299" s="319">
        <v>20.3</v>
      </c>
      <c r="H299" s="317" t="s">
        <v>410</v>
      </c>
      <c r="I299" s="14" t="s">
        <v>371</v>
      </c>
      <c r="J299" s="21" t="s">
        <v>176</v>
      </c>
      <c r="K299" s="12" t="s">
        <v>14</v>
      </c>
      <c r="L299" s="319">
        <f t="shared" si="37"/>
        <v>20.3</v>
      </c>
      <c r="M299" s="22">
        <v>1</v>
      </c>
      <c r="N299" s="78">
        <f>IF(K299="NV","",IF(VLOOKUP(M299,'R_Häufigkeit_Faktoren UHR'!$B$4:$I$24,7,FALSE)=0,"",VLOOKUP(M299,'R_Häufigkeit_Faktoren UHR'!$B$4:$I$24,7,FALSE)))</f>
        <v>4.3452380952380958</v>
      </c>
      <c r="O299" s="3">
        <f t="shared" si="41"/>
        <v>88.208333333333343</v>
      </c>
      <c r="P299" s="325"/>
      <c r="Q299" s="156">
        <f>IF(N299="","",VLOOKUP(J299,Raumgruppen_Leistungswerte!$B$5:$F$35,5,FALSE))</f>
        <v>0</v>
      </c>
      <c r="R299" s="157" t="e">
        <f t="shared" si="42"/>
        <v>#DIV/0!</v>
      </c>
      <c r="S299" s="445" t="e">
        <f t="shared" si="43"/>
        <v>#DIV/0!</v>
      </c>
      <c r="T299" s="78" t="str">
        <f>IF(K299="NV","",IF(VLOOKUP(M299,'R_Häufigkeit_Faktoren UHR'!$B$4:$I$24,8,FALSE)=0,"",VLOOKUP(M299,'R_Häufigkeit_Faktoren UHR'!$B$4:$I$24,8,FALSE)))</f>
        <v/>
      </c>
      <c r="U299" s="156" t="str">
        <f t="shared" si="44"/>
        <v/>
      </c>
      <c r="V299" s="427"/>
      <c r="W299" s="12" t="str">
        <f>IF(T299="","",VLOOKUP(J299,Raumgruppen_Leistungswerte!$B$5:$F$35,5,FALSE))</f>
        <v/>
      </c>
      <c r="X299" s="156" t="str">
        <f t="shared" si="45"/>
        <v/>
      </c>
      <c r="Y299" s="446" t="str">
        <f t="shared" si="46"/>
        <v/>
      </c>
      <c r="Z299" s="158">
        <f t="shared" si="38"/>
        <v>88.208333333333343</v>
      </c>
      <c r="AA299" s="23" t="e">
        <f t="shared" si="39"/>
        <v>#DIV/0!</v>
      </c>
      <c r="AB299" s="445" t="e">
        <f t="shared" si="40"/>
        <v>#DIV/0!</v>
      </c>
      <c r="AC299" s="123"/>
    </row>
    <row r="300" spans="1:29" ht="12" customHeight="1">
      <c r="A300" s="11">
        <v>296</v>
      </c>
      <c r="B300" s="12" t="s">
        <v>495</v>
      </c>
      <c r="C300" s="17">
        <v>1</v>
      </c>
      <c r="D300" s="19" t="s">
        <v>556</v>
      </c>
      <c r="E300" s="17">
        <v>7</v>
      </c>
      <c r="F300" s="316" t="s">
        <v>568</v>
      </c>
      <c r="G300" s="319">
        <v>17.899999999999999</v>
      </c>
      <c r="H300" s="317" t="s">
        <v>494</v>
      </c>
      <c r="I300" s="14" t="s">
        <v>383</v>
      </c>
      <c r="J300" s="21" t="s">
        <v>251</v>
      </c>
      <c r="K300" s="12" t="s">
        <v>14</v>
      </c>
      <c r="L300" s="334">
        <f t="shared" si="37"/>
        <v>17.899999999999999</v>
      </c>
      <c r="M300" s="22">
        <v>1</v>
      </c>
      <c r="N300" s="78">
        <f>IF(K300="NV","",IF(VLOOKUP(M300,'R_Häufigkeit_Faktoren UHR'!$B$4:$I$24,7,FALSE)=0,"",VLOOKUP(M300,'R_Häufigkeit_Faktoren UHR'!$B$4:$I$24,7,FALSE)))</f>
        <v>4.3452380952380958</v>
      </c>
      <c r="O300" s="3">
        <f t="shared" si="41"/>
        <v>77.779761904761912</v>
      </c>
      <c r="P300" s="325"/>
      <c r="Q300" s="156">
        <f>IF(N300="","",VLOOKUP(J300,Raumgruppen_Leistungswerte!$B$5:$F$35,5,FALSE))</f>
        <v>0</v>
      </c>
      <c r="R300" s="157" t="e">
        <f t="shared" si="42"/>
        <v>#DIV/0!</v>
      </c>
      <c r="S300" s="445" t="e">
        <f t="shared" si="43"/>
        <v>#DIV/0!</v>
      </c>
      <c r="T300" s="78" t="str">
        <f>IF(K300="NV","",IF(VLOOKUP(M300,'R_Häufigkeit_Faktoren UHR'!$B$4:$I$24,8,FALSE)=0,"",VLOOKUP(M300,'R_Häufigkeit_Faktoren UHR'!$B$4:$I$24,8,FALSE)))</f>
        <v/>
      </c>
      <c r="U300" s="156" t="str">
        <f t="shared" si="44"/>
        <v/>
      </c>
      <c r="V300" s="427"/>
      <c r="W300" s="12" t="str">
        <f>IF(T300="","",VLOOKUP(J300,Raumgruppen_Leistungswerte!$B$5:$F$35,5,FALSE))</f>
        <v/>
      </c>
      <c r="X300" s="156" t="str">
        <f t="shared" si="45"/>
        <v/>
      </c>
      <c r="Y300" s="446" t="str">
        <f t="shared" si="46"/>
        <v/>
      </c>
      <c r="Z300" s="158">
        <f t="shared" si="38"/>
        <v>77.779761904761912</v>
      </c>
      <c r="AA300" s="23" t="e">
        <f t="shared" si="39"/>
        <v>#DIV/0!</v>
      </c>
      <c r="AB300" s="445" t="e">
        <f t="shared" si="40"/>
        <v>#DIV/0!</v>
      </c>
      <c r="AC300" s="123"/>
    </row>
    <row r="301" spans="1:29" ht="12" customHeight="1">
      <c r="A301" s="11">
        <v>297</v>
      </c>
      <c r="B301" s="12" t="s">
        <v>495</v>
      </c>
      <c r="C301" s="17">
        <v>2</v>
      </c>
      <c r="D301" s="19" t="s">
        <v>399</v>
      </c>
      <c r="E301" s="17">
        <v>3</v>
      </c>
      <c r="F301" s="316" t="s">
        <v>426</v>
      </c>
      <c r="G301" s="319">
        <v>29.3</v>
      </c>
      <c r="H301" s="317" t="s">
        <v>320</v>
      </c>
      <c r="I301" s="14" t="s">
        <v>371</v>
      </c>
      <c r="J301" s="15" t="s">
        <v>238</v>
      </c>
      <c r="K301" s="12" t="s">
        <v>14</v>
      </c>
      <c r="L301" s="319">
        <f t="shared" si="37"/>
        <v>29.3</v>
      </c>
      <c r="M301" s="22">
        <v>5</v>
      </c>
      <c r="N301" s="79">
        <f>IF(K301="NV","",IF(VLOOKUP(M301,'R_Häufigkeit_Faktoren UHR'!$B$4:$I$24,7,FALSE)=0,"",VLOOKUP(M301,'R_Häufigkeit_Faktoren UHR'!$B$4:$I$24,7,FALSE)))</f>
        <v>20.917857142857144</v>
      </c>
      <c r="O301" s="3">
        <f t="shared" si="41"/>
        <v>612.89321428571429</v>
      </c>
      <c r="P301" s="325"/>
      <c r="Q301" s="156">
        <f>IF(N301="","",VLOOKUP(J301,Raumgruppen_Leistungswerte!$B$5:$F$35,5,FALSE))</f>
        <v>0</v>
      </c>
      <c r="R301" s="157" t="e">
        <f t="shared" si="42"/>
        <v>#DIV/0!</v>
      </c>
      <c r="S301" s="445" t="e">
        <f t="shared" si="43"/>
        <v>#DIV/0!</v>
      </c>
      <c r="T301" s="78" t="str">
        <f>IF(K301="NV","",IF(VLOOKUP(M301,'R_Häufigkeit_Faktoren UHR'!$B$4:$I$24,8,FALSE)=0,"",VLOOKUP(M301,'R_Häufigkeit_Faktoren UHR'!$B$4:$I$24,8,FALSE)))</f>
        <v/>
      </c>
      <c r="U301" s="156" t="str">
        <f t="shared" si="44"/>
        <v/>
      </c>
      <c r="V301" s="427"/>
      <c r="W301" s="12" t="str">
        <f>IF(T301="","",VLOOKUP(J301,Raumgruppen_Leistungswerte!$B$5:$F$35,5,FALSE))</f>
        <v/>
      </c>
      <c r="X301" s="156" t="str">
        <f t="shared" si="45"/>
        <v/>
      </c>
      <c r="Y301" s="446" t="str">
        <f t="shared" si="46"/>
        <v/>
      </c>
      <c r="Z301" s="158">
        <f t="shared" si="38"/>
        <v>612.89321428571429</v>
      </c>
      <c r="AA301" s="23" t="e">
        <f t="shared" si="39"/>
        <v>#DIV/0!</v>
      </c>
      <c r="AB301" s="445" t="e">
        <f t="shared" si="40"/>
        <v>#DIV/0!</v>
      </c>
      <c r="AC301" s="123"/>
    </row>
    <row r="302" spans="1:29" ht="12" customHeight="1">
      <c r="A302" s="11">
        <v>298</v>
      </c>
      <c r="B302" s="12" t="s">
        <v>495</v>
      </c>
      <c r="C302" s="17">
        <v>2</v>
      </c>
      <c r="D302" s="19" t="s">
        <v>399</v>
      </c>
      <c r="E302" s="17">
        <v>3</v>
      </c>
      <c r="F302" s="316" t="s">
        <v>569</v>
      </c>
      <c r="G302" s="319">
        <v>16.3</v>
      </c>
      <c r="H302" s="317" t="s">
        <v>394</v>
      </c>
      <c r="I302" s="14" t="s">
        <v>371</v>
      </c>
      <c r="J302" s="21" t="s">
        <v>218</v>
      </c>
      <c r="K302" s="12" t="s">
        <v>14</v>
      </c>
      <c r="L302" s="319">
        <f t="shared" si="37"/>
        <v>16.3</v>
      </c>
      <c r="M302" s="22">
        <v>5</v>
      </c>
      <c r="N302" s="79">
        <f>IF(K302="NV","",IF(VLOOKUP(M302,'R_Häufigkeit_Faktoren UHR'!$B$4:$I$24,7,FALSE)=0,"",VLOOKUP(M302,'R_Häufigkeit_Faktoren UHR'!$B$4:$I$24,7,FALSE)))</f>
        <v>20.917857142857144</v>
      </c>
      <c r="O302" s="3">
        <f t="shared" si="41"/>
        <v>340.96107142857147</v>
      </c>
      <c r="P302" s="325"/>
      <c r="Q302" s="156">
        <f>IF(N302="","",VLOOKUP(J302,Raumgruppen_Leistungswerte!$B$5:$F$35,5,FALSE))</f>
        <v>0</v>
      </c>
      <c r="R302" s="157" t="e">
        <f t="shared" si="42"/>
        <v>#DIV/0!</v>
      </c>
      <c r="S302" s="445" t="e">
        <f t="shared" si="43"/>
        <v>#DIV/0!</v>
      </c>
      <c r="T302" s="78" t="str">
        <f>IF(K302="NV","",IF(VLOOKUP(M302,'R_Häufigkeit_Faktoren UHR'!$B$4:$I$24,8,FALSE)=0,"",VLOOKUP(M302,'R_Häufigkeit_Faktoren UHR'!$B$4:$I$24,8,FALSE)))</f>
        <v/>
      </c>
      <c r="U302" s="156" t="str">
        <f t="shared" si="44"/>
        <v/>
      </c>
      <c r="V302" s="427"/>
      <c r="W302" s="12" t="str">
        <f>IF(T302="","",VLOOKUP(J302,Raumgruppen_Leistungswerte!$B$5:$F$35,5,FALSE))</f>
        <v/>
      </c>
      <c r="X302" s="156" t="str">
        <f t="shared" si="45"/>
        <v/>
      </c>
      <c r="Y302" s="446" t="str">
        <f t="shared" si="46"/>
        <v/>
      </c>
      <c r="Z302" s="158">
        <f t="shared" si="38"/>
        <v>340.96107142857147</v>
      </c>
      <c r="AA302" s="23" t="e">
        <f t="shared" si="39"/>
        <v>#DIV/0!</v>
      </c>
      <c r="AB302" s="445" t="e">
        <f t="shared" si="40"/>
        <v>#DIV/0!</v>
      </c>
      <c r="AC302" s="123"/>
    </row>
    <row r="303" spans="1:29" ht="12" customHeight="1">
      <c r="A303" s="11">
        <v>299</v>
      </c>
      <c r="B303" s="12" t="s">
        <v>495</v>
      </c>
      <c r="C303" s="17">
        <v>2</v>
      </c>
      <c r="D303" s="19" t="s">
        <v>399</v>
      </c>
      <c r="E303" s="17">
        <v>3</v>
      </c>
      <c r="F303" s="18" t="s">
        <v>500</v>
      </c>
      <c r="G303" s="319">
        <v>10.6</v>
      </c>
      <c r="H303" s="19" t="s">
        <v>387</v>
      </c>
      <c r="I303" s="20" t="s">
        <v>406</v>
      </c>
      <c r="J303" s="21" t="s">
        <v>1</v>
      </c>
      <c r="K303" s="12" t="s">
        <v>14</v>
      </c>
      <c r="L303" s="319">
        <f t="shared" si="37"/>
        <v>10.6</v>
      </c>
      <c r="M303" s="22">
        <v>5</v>
      </c>
      <c r="N303" s="79">
        <f>IF(K303="NV","",IF(VLOOKUP(M303,'R_Häufigkeit_Faktoren UHR'!$B$4:$I$24,7,FALSE)=0,"",VLOOKUP(M303,'R_Häufigkeit_Faktoren UHR'!$B$4:$I$24,7,FALSE)))</f>
        <v>20.917857142857144</v>
      </c>
      <c r="O303" s="3">
        <f t="shared" si="41"/>
        <v>221.72928571428574</v>
      </c>
      <c r="P303" s="325"/>
      <c r="Q303" s="156">
        <f>IF(N303="","",VLOOKUP(J303,Raumgruppen_Leistungswerte!$B$5:$F$35,5,FALSE))</f>
        <v>0</v>
      </c>
      <c r="R303" s="157" t="e">
        <f t="shared" si="42"/>
        <v>#DIV/0!</v>
      </c>
      <c r="S303" s="445" t="e">
        <f t="shared" si="43"/>
        <v>#DIV/0!</v>
      </c>
      <c r="T303" s="78" t="str">
        <f>IF(K303="NV","",IF(VLOOKUP(M303,'R_Häufigkeit_Faktoren UHR'!$B$4:$I$24,8,FALSE)=0,"",VLOOKUP(M303,'R_Häufigkeit_Faktoren UHR'!$B$4:$I$24,8,FALSE)))</f>
        <v/>
      </c>
      <c r="U303" s="156" t="str">
        <f t="shared" si="44"/>
        <v/>
      </c>
      <c r="V303" s="427"/>
      <c r="W303" s="12" t="str">
        <f>IF(T303="","",VLOOKUP(J303,Raumgruppen_Leistungswerte!$B$5:$F$35,5,FALSE))</f>
        <v/>
      </c>
      <c r="X303" s="156" t="str">
        <f t="shared" si="45"/>
        <v/>
      </c>
      <c r="Y303" s="446" t="str">
        <f t="shared" si="46"/>
        <v/>
      </c>
      <c r="Z303" s="158">
        <f t="shared" si="38"/>
        <v>221.72928571428574</v>
      </c>
      <c r="AA303" s="23" t="e">
        <f t="shared" si="39"/>
        <v>#DIV/0!</v>
      </c>
      <c r="AB303" s="445" t="e">
        <f t="shared" si="40"/>
        <v>#DIV/0!</v>
      </c>
      <c r="AC303" s="123"/>
    </row>
    <row r="304" spans="1:29" ht="12" customHeight="1">
      <c r="A304" s="11">
        <v>300</v>
      </c>
      <c r="B304" s="12" t="s">
        <v>495</v>
      </c>
      <c r="C304" s="17">
        <v>2</v>
      </c>
      <c r="D304" s="19" t="s">
        <v>399</v>
      </c>
      <c r="E304" s="17">
        <v>3</v>
      </c>
      <c r="F304" s="18" t="s">
        <v>499</v>
      </c>
      <c r="G304" s="319">
        <v>10.8</v>
      </c>
      <c r="H304" s="19" t="s">
        <v>385</v>
      </c>
      <c r="I304" s="20" t="s">
        <v>406</v>
      </c>
      <c r="J304" s="21" t="s">
        <v>1</v>
      </c>
      <c r="K304" s="12" t="s">
        <v>14</v>
      </c>
      <c r="L304" s="319">
        <f t="shared" si="37"/>
        <v>10.8</v>
      </c>
      <c r="M304" s="22">
        <v>5</v>
      </c>
      <c r="N304" s="79">
        <f>IF(K304="NV","",IF(VLOOKUP(M304,'R_Häufigkeit_Faktoren UHR'!$B$4:$I$24,7,FALSE)=0,"",VLOOKUP(M304,'R_Häufigkeit_Faktoren UHR'!$B$4:$I$24,7,FALSE)))</f>
        <v>20.917857142857144</v>
      </c>
      <c r="O304" s="3">
        <f t="shared" si="41"/>
        <v>225.91285714285718</v>
      </c>
      <c r="P304" s="325"/>
      <c r="Q304" s="156">
        <f>IF(N304="","",VLOOKUP(J304,Raumgruppen_Leistungswerte!$B$5:$F$35,5,FALSE))</f>
        <v>0</v>
      </c>
      <c r="R304" s="157" t="e">
        <f t="shared" si="42"/>
        <v>#DIV/0!</v>
      </c>
      <c r="S304" s="445" t="e">
        <f t="shared" si="43"/>
        <v>#DIV/0!</v>
      </c>
      <c r="T304" s="78" t="str">
        <f>IF(K304="NV","",IF(VLOOKUP(M304,'R_Häufigkeit_Faktoren UHR'!$B$4:$I$24,8,FALSE)=0,"",VLOOKUP(M304,'R_Häufigkeit_Faktoren UHR'!$B$4:$I$24,8,FALSE)))</f>
        <v/>
      </c>
      <c r="U304" s="156" t="str">
        <f t="shared" si="44"/>
        <v/>
      </c>
      <c r="V304" s="427"/>
      <c r="W304" s="12" t="str">
        <f>IF(T304="","",VLOOKUP(J304,Raumgruppen_Leistungswerte!$B$5:$F$35,5,FALSE))</f>
        <v/>
      </c>
      <c r="X304" s="156" t="str">
        <f t="shared" si="45"/>
        <v/>
      </c>
      <c r="Y304" s="446" t="str">
        <f t="shared" si="46"/>
        <v/>
      </c>
      <c r="Z304" s="158">
        <f t="shared" si="38"/>
        <v>225.91285714285718</v>
      </c>
      <c r="AA304" s="23" t="e">
        <f t="shared" si="39"/>
        <v>#DIV/0!</v>
      </c>
      <c r="AB304" s="445" t="e">
        <f t="shared" si="40"/>
        <v>#DIV/0!</v>
      </c>
      <c r="AC304" s="123"/>
    </row>
    <row r="305" spans="1:29" ht="12" customHeight="1">
      <c r="A305" s="11">
        <v>301</v>
      </c>
      <c r="B305" s="12" t="s">
        <v>495</v>
      </c>
      <c r="C305" s="17">
        <v>2</v>
      </c>
      <c r="D305" s="19" t="s">
        <v>399</v>
      </c>
      <c r="E305" s="17">
        <v>3</v>
      </c>
      <c r="F305" s="18" t="s">
        <v>570</v>
      </c>
      <c r="G305" s="319">
        <v>19.600000000000001</v>
      </c>
      <c r="H305" s="19" t="s">
        <v>410</v>
      </c>
      <c r="I305" s="20" t="s">
        <v>371</v>
      </c>
      <c r="J305" s="21" t="s">
        <v>176</v>
      </c>
      <c r="K305" s="12" t="s">
        <v>14</v>
      </c>
      <c r="L305" s="319">
        <f t="shared" si="37"/>
        <v>19.600000000000001</v>
      </c>
      <c r="M305" s="22">
        <v>1</v>
      </c>
      <c r="N305" s="79">
        <f>IF(K305="NV","",IF(VLOOKUP(M305,'R_Häufigkeit_Faktoren UHR'!$B$4:$I$24,7,FALSE)=0,"",VLOOKUP(M305,'R_Häufigkeit_Faktoren UHR'!$B$4:$I$24,7,FALSE)))</f>
        <v>4.3452380952380958</v>
      </c>
      <c r="O305" s="3">
        <f t="shared" si="41"/>
        <v>85.166666666666686</v>
      </c>
      <c r="P305" s="325"/>
      <c r="Q305" s="156">
        <f>IF(N305="","",VLOOKUP(J305,Raumgruppen_Leistungswerte!$B$5:$F$35,5,FALSE))</f>
        <v>0</v>
      </c>
      <c r="R305" s="157" t="e">
        <f t="shared" si="42"/>
        <v>#DIV/0!</v>
      </c>
      <c r="S305" s="445" t="e">
        <f t="shared" si="43"/>
        <v>#DIV/0!</v>
      </c>
      <c r="T305" s="78" t="str">
        <f>IF(K305="NV","",IF(VLOOKUP(M305,'R_Häufigkeit_Faktoren UHR'!$B$4:$I$24,8,FALSE)=0,"",VLOOKUP(M305,'R_Häufigkeit_Faktoren UHR'!$B$4:$I$24,8,FALSE)))</f>
        <v/>
      </c>
      <c r="U305" s="156" t="str">
        <f t="shared" si="44"/>
        <v/>
      </c>
      <c r="V305" s="427"/>
      <c r="W305" s="12" t="str">
        <f>IF(T305="","",VLOOKUP(J305,Raumgruppen_Leistungswerte!$B$5:$F$35,5,FALSE))</f>
        <v/>
      </c>
      <c r="X305" s="156" t="str">
        <f t="shared" si="45"/>
        <v/>
      </c>
      <c r="Y305" s="446" t="str">
        <f t="shared" si="46"/>
        <v/>
      </c>
      <c r="Z305" s="158">
        <f t="shared" si="38"/>
        <v>85.166666666666686</v>
      </c>
      <c r="AA305" s="23" t="e">
        <f t="shared" si="39"/>
        <v>#DIV/0!</v>
      </c>
      <c r="AB305" s="445" t="e">
        <f t="shared" si="40"/>
        <v>#DIV/0!</v>
      </c>
      <c r="AC305" s="123"/>
    </row>
    <row r="306" spans="1:29" ht="12" customHeight="1">
      <c r="A306" s="11">
        <v>302</v>
      </c>
      <c r="B306" s="12" t="s">
        <v>495</v>
      </c>
      <c r="C306" s="17">
        <v>2</v>
      </c>
      <c r="D306" s="19" t="s">
        <v>399</v>
      </c>
      <c r="E306" s="17">
        <v>3</v>
      </c>
      <c r="F306" s="18" t="s">
        <v>571</v>
      </c>
      <c r="G306" s="319">
        <v>17.2</v>
      </c>
      <c r="H306" s="19" t="s">
        <v>410</v>
      </c>
      <c r="I306" s="14" t="s">
        <v>371</v>
      </c>
      <c r="J306" s="21" t="s">
        <v>176</v>
      </c>
      <c r="K306" s="12" t="s">
        <v>14</v>
      </c>
      <c r="L306" s="319">
        <f t="shared" si="37"/>
        <v>17.2</v>
      </c>
      <c r="M306" s="22">
        <v>1</v>
      </c>
      <c r="N306" s="79">
        <f>IF(K306="NV","",IF(VLOOKUP(M306,'R_Häufigkeit_Faktoren UHR'!$B$4:$I$24,7,FALSE)=0,"",VLOOKUP(M306,'R_Häufigkeit_Faktoren UHR'!$B$4:$I$24,7,FALSE)))</f>
        <v>4.3452380952380958</v>
      </c>
      <c r="O306" s="3">
        <f t="shared" si="41"/>
        <v>74.738095238095241</v>
      </c>
      <c r="P306" s="325"/>
      <c r="Q306" s="156">
        <f>IF(N306="","",VLOOKUP(J306,Raumgruppen_Leistungswerte!$B$5:$F$35,5,FALSE))</f>
        <v>0</v>
      </c>
      <c r="R306" s="157" t="e">
        <f t="shared" si="42"/>
        <v>#DIV/0!</v>
      </c>
      <c r="S306" s="445" t="e">
        <f t="shared" si="43"/>
        <v>#DIV/0!</v>
      </c>
      <c r="T306" s="78" t="str">
        <f>IF(K306="NV","",IF(VLOOKUP(M306,'R_Häufigkeit_Faktoren UHR'!$B$4:$I$24,8,FALSE)=0,"",VLOOKUP(M306,'R_Häufigkeit_Faktoren UHR'!$B$4:$I$24,8,FALSE)))</f>
        <v/>
      </c>
      <c r="U306" s="156" t="str">
        <f t="shared" si="44"/>
        <v/>
      </c>
      <c r="V306" s="427"/>
      <c r="W306" s="12" t="str">
        <f>IF(T306="","",VLOOKUP(J306,Raumgruppen_Leistungswerte!$B$5:$F$35,5,FALSE))</f>
        <v/>
      </c>
      <c r="X306" s="156" t="str">
        <f t="shared" si="45"/>
        <v/>
      </c>
      <c r="Y306" s="446" t="str">
        <f t="shared" si="46"/>
        <v/>
      </c>
      <c r="Z306" s="158">
        <f t="shared" ref="Z306:Z337" si="47">IF(U306="",O306,O306+U306)</f>
        <v>74.738095238095241</v>
      </c>
      <c r="AA306" s="23" t="e">
        <f t="shared" ref="AA306:AA337" si="48">IF(X306="",R306,X306+R306)</f>
        <v>#DIV/0!</v>
      </c>
      <c r="AB306" s="445" t="e">
        <f t="shared" ref="AB306:AB337" si="49">IF(Y306="",S306,S306+Y306)</f>
        <v>#DIV/0!</v>
      </c>
      <c r="AC306" s="123"/>
    </row>
    <row r="307" spans="1:29" ht="12" customHeight="1">
      <c r="A307" s="11">
        <v>303</v>
      </c>
      <c r="B307" s="12" t="s">
        <v>495</v>
      </c>
      <c r="C307" s="17">
        <v>2</v>
      </c>
      <c r="D307" s="19" t="s">
        <v>399</v>
      </c>
      <c r="E307" s="17">
        <v>3</v>
      </c>
      <c r="F307" s="18" t="s">
        <v>572</v>
      </c>
      <c r="G307" s="319">
        <v>4.9000000000000004</v>
      </c>
      <c r="H307" s="19" t="s">
        <v>494</v>
      </c>
      <c r="I307" s="14" t="s">
        <v>383</v>
      </c>
      <c r="J307" s="21" t="s">
        <v>251</v>
      </c>
      <c r="K307" s="12" t="s">
        <v>14</v>
      </c>
      <c r="L307" s="334">
        <f t="shared" si="37"/>
        <v>4.9000000000000004</v>
      </c>
      <c r="M307" s="22">
        <v>1</v>
      </c>
      <c r="N307" s="79">
        <f>IF(K307="NV","",IF(VLOOKUP(M307,'R_Häufigkeit_Faktoren UHR'!$B$4:$I$24,7,FALSE)=0,"",VLOOKUP(M307,'R_Häufigkeit_Faktoren UHR'!$B$4:$I$24,7,FALSE)))</f>
        <v>4.3452380952380958</v>
      </c>
      <c r="O307" s="3">
        <f t="shared" si="41"/>
        <v>21.291666666666671</v>
      </c>
      <c r="P307" s="325"/>
      <c r="Q307" s="156">
        <f>IF(N307="","",VLOOKUP(J307,Raumgruppen_Leistungswerte!$B$5:$F$35,5,FALSE))</f>
        <v>0</v>
      </c>
      <c r="R307" s="157" t="e">
        <f t="shared" si="42"/>
        <v>#DIV/0!</v>
      </c>
      <c r="S307" s="445" t="e">
        <f t="shared" si="43"/>
        <v>#DIV/0!</v>
      </c>
      <c r="T307" s="78" t="str">
        <f>IF(K307="NV","",IF(VLOOKUP(M307,'R_Häufigkeit_Faktoren UHR'!$B$4:$I$24,8,FALSE)=0,"",VLOOKUP(M307,'R_Häufigkeit_Faktoren UHR'!$B$4:$I$24,8,FALSE)))</f>
        <v/>
      </c>
      <c r="U307" s="156" t="str">
        <f t="shared" si="44"/>
        <v/>
      </c>
      <c r="V307" s="427"/>
      <c r="W307" s="12" t="str">
        <f>IF(T307="","",VLOOKUP(J307,Raumgruppen_Leistungswerte!$B$5:$F$35,5,FALSE))</f>
        <v/>
      </c>
      <c r="X307" s="156" t="str">
        <f t="shared" si="45"/>
        <v/>
      </c>
      <c r="Y307" s="446" t="str">
        <f t="shared" si="46"/>
        <v/>
      </c>
      <c r="Z307" s="158">
        <f t="shared" si="47"/>
        <v>21.291666666666671</v>
      </c>
      <c r="AA307" s="23" t="e">
        <f t="shared" si="48"/>
        <v>#DIV/0!</v>
      </c>
      <c r="AB307" s="445" t="e">
        <f t="shared" si="49"/>
        <v>#DIV/0!</v>
      </c>
      <c r="AC307" s="123"/>
    </row>
    <row r="308" spans="1:29" ht="12" customHeight="1">
      <c r="A308" s="11">
        <v>304</v>
      </c>
      <c r="B308" s="12" t="s">
        <v>495</v>
      </c>
      <c r="C308" s="17">
        <v>2</v>
      </c>
      <c r="D308" s="19" t="s">
        <v>399</v>
      </c>
      <c r="E308" s="17">
        <v>3</v>
      </c>
      <c r="F308" s="18" t="s">
        <v>573</v>
      </c>
      <c r="G308" s="319">
        <v>17</v>
      </c>
      <c r="H308" s="19" t="s">
        <v>436</v>
      </c>
      <c r="I308" s="14" t="s">
        <v>371</v>
      </c>
      <c r="J308" s="21" t="s">
        <v>219</v>
      </c>
      <c r="K308" s="12" t="s">
        <v>14</v>
      </c>
      <c r="L308" s="319">
        <f t="shared" si="37"/>
        <v>17</v>
      </c>
      <c r="M308" s="22">
        <v>3</v>
      </c>
      <c r="N308" s="79">
        <f>IF(K308="NV","",IF(VLOOKUP(M308,'R_Häufigkeit_Faktoren UHR'!$B$4:$I$24,7,FALSE)=0,"",VLOOKUP(M308,'R_Häufigkeit_Faktoren UHR'!$B$4:$I$24,7,FALSE)))</f>
        <v>13.035714285714286</v>
      </c>
      <c r="O308" s="3">
        <f t="shared" si="41"/>
        <v>221.60714285714286</v>
      </c>
      <c r="P308" s="325"/>
      <c r="Q308" s="156">
        <f>IF(N308="","",VLOOKUP(J308,Raumgruppen_Leistungswerte!$B$5:$F$35,5,FALSE))</f>
        <v>0</v>
      </c>
      <c r="R308" s="157" t="e">
        <f t="shared" si="42"/>
        <v>#DIV/0!</v>
      </c>
      <c r="S308" s="445" t="e">
        <f t="shared" si="43"/>
        <v>#DIV/0!</v>
      </c>
      <c r="T308" s="78" t="str">
        <f>IF(K308="NV","",IF(VLOOKUP(M308,'R_Häufigkeit_Faktoren UHR'!$B$4:$I$24,8,FALSE)=0,"",VLOOKUP(M308,'R_Häufigkeit_Faktoren UHR'!$B$4:$I$24,8,FALSE)))</f>
        <v/>
      </c>
      <c r="U308" s="156" t="str">
        <f t="shared" si="44"/>
        <v/>
      </c>
      <c r="V308" s="427"/>
      <c r="W308" s="12" t="str">
        <f>IF(T308="","",VLOOKUP(J308,Raumgruppen_Leistungswerte!$B$5:$F$35,5,FALSE))</f>
        <v/>
      </c>
      <c r="X308" s="156" t="str">
        <f t="shared" si="45"/>
        <v/>
      </c>
      <c r="Y308" s="446" t="str">
        <f t="shared" si="46"/>
        <v/>
      </c>
      <c r="Z308" s="158">
        <f t="shared" si="47"/>
        <v>221.60714285714286</v>
      </c>
      <c r="AA308" s="23" t="e">
        <f t="shared" si="48"/>
        <v>#DIV/0!</v>
      </c>
      <c r="AB308" s="445" t="e">
        <f t="shared" si="49"/>
        <v>#DIV/0!</v>
      </c>
      <c r="AC308" s="123"/>
    </row>
    <row r="309" spans="1:29" ht="12" customHeight="1">
      <c r="A309" s="11">
        <v>305</v>
      </c>
      <c r="B309" s="12" t="s">
        <v>495</v>
      </c>
      <c r="C309" s="17">
        <v>2</v>
      </c>
      <c r="D309" s="19" t="s">
        <v>399</v>
      </c>
      <c r="E309" s="17">
        <v>3</v>
      </c>
      <c r="F309" s="18" t="s">
        <v>574</v>
      </c>
      <c r="G309" s="319">
        <v>19.3</v>
      </c>
      <c r="H309" s="19" t="s">
        <v>410</v>
      </c>
      <c r="I309" s="20" t="s">
        <v>371</v>
      </c>
      <c r="J309" s="21" t="s">
        <v>176</v>
      </c>
      <c r="K309" s="12" t="s">
        <v>14</v>
      </c>
      <c r="L309" s="319">
        <f t="shared" si="37"/>
        <v>19.3</v>
      </c>
      <c r="M309" s="22">
        <v>1</v>
      </c>
      <c r="N309" s="79">
        <f>IF(K309="NV","",IF(VLOOKUP(M309,'R_Häufigkeit_Faktoren UHR'!$B$4:$I$24,7,FALSE)=0,"",VLOOKUP(M309,'R_Häufigkeit_Faktoren UHR'!$B$4:$I$24,7,FALSE)))</f>
        <v>4.3452380952380958</v>
      </c>
      <c r="O309" s="3">
        <f t="shared" si="41"/>
        <v>83.863095238095255</v>
      </c>
      <c r="P309" s="325"/>
      <c r="Q309" s="156">
        <f>IF(N309="","",VLOOKUP(J309,Raumgruppen_Leistungswerte!$B$5:$F$35,5,FALSE))</f>
        <v>0</v>
      </c>
      <c r="R309" s="157" t="e">
        <f t="shared" si="42"/>
        <v>#DIV/0!</v>
      </c>
      <c r="S309" s="445" t="e">
        <f t="shared" si="43"/>
        <v>#DIV/0!</v>
      </c>
      <c r="T309" s="78" t="str">
        <f>IF(K309="NV","",IF(VLOOKUP(M309,'R_Häufigkeit_Faktoren UHR'!$B$4:$I$24,8,FALSE)=0,"",VLOOKUP(M309,'R_Häufigkeit_Faktoren UHR'!$B$4:$I$24,8,FALSE)))</f>
        <v/>
      </c>
      <c r="U309" s="156" t="str">
        <f t="shared" si="44"/>
        <v/>
      </c>
      <c r="V309" s="427"/>
      <c r="W309" s="12" t="str">
        <f>IF(T309="","",VLOOKUP(J309,Raumgruppen_Leistungswerte!$B$5:$F$35,5,FALSE))</f>
        <v/>
      </c>
      <c r="X309" s="156" t="str">
        <f t="shared" si="45"/>
        <v/>
      </c>
      <c r="Y309" s="446" t="str">
        <f t="shared" si="46"/>
        <v/>
      </c>
      <c r="Z309" s="158">
        <f t="shared" si="47"/>
        <v>83.863095238095255</v>
      </c>
      <c r="AA309" s="23" t="e">
        <f t="shared" si="48"/>
        <v>#DIV/0!</v>
      </c>
      <c r="AB309" s="445" t="e">
        <f t="shared" si="49"/>
        <v>#DIV/0!</v>
      </c>
      <c r="AC309" s="123"/>
    </row>
    <row r="310" spans="1:29" ht="12" customHeight="1">
      <c r="A310" s="11">
        <v>306</v>
      </c>
      <c r="B310" s="12" t="s">
        <v>495</v>
      </c>
      <c r="C310" s="17">
        <v>2</v>
      </c>
      <c r="D310" s="19" t="s">
        <v>575</v>
      </c>
      <c r="E310" s="17">
        <v>3</v>
      </c>
      <c r="F310" s="18" t="s">
        <v>576</v>
      </c>
      <c r="G310" s="319">
        <v>6.7</v>
      </c>
      <c r="H310" s="19" t="s">
        <v>494</v>
      </c>
      <c r="I310" s="20" t="s">
        <v>383</v>
      </c>
      <c r="J310" s="21" t="s">
        <v>251</v>
      </c>
      <c r="K310" s="12" t="s">
        <v>14</v>
      </c>
      <c r="L310" s="334">
        <f t="shared" ref="L310:L353" si="50">IF(K310="NV","",G310)</f>
        <v>6.7</v>
      </c>
      <c r="M310" s="22">
        <v>1</v>
      </c>
      <c r="N310" s="79">
        <f>IF(K310="NV","",IF(VLOOKUP(M310,'R_Häufigkeit_Faktoren UHR'!$B$4:$I$24,7,FALSE)=0,"",VLOOKUP(M310,'R_Häufigkeit_Faktoren UHR'!$B$4:$I$24,7,FALSE)))</f>
        <v>4.3452380952380958</v>
      </c>
      <c r="O310" s="3">
        <f t="shared" si="41"/>
        <v>29.113095238095241</v>
      </c>
      <c r="P310" s="325"/>
      <c r="Q310" s="156">
        <f>IF(N310="","",VLOOKUP(J310,Raumgruppen_Leistungswerte!$B$5:$F$35,5,FALSE))</f>
        <v>0</v>
      </c>
      <c r="R310" s="157" t="e">
        <f t="shared" si="42"/>
        <v>#DIV/0!</v>
      </c>
      <c r="S310" s="445" t="e">
        <f t="shared" si="43"/>
        <v>#DIV/0!</v>
      </c>
      <c r="T310" s="78" t="str">
        <f>IF(K310="NV","",IF(VLOOKUP(M310,'R_Häufigkeit_Faktoren UHR'!$B$4:$I$24,8,FALSE)=0,"",VLOOKUP(M310,'R_Häufigkeit_Faktoren UHR'!$B$4:$I$24,8,FALSE)))</f>
        <v/>
      </c>
      <c r="U310" s="156" t="str">
        <f t="shared" si="44"/>
        <v/>
      </c>
      <c r="V310" s="427"/>
      <c r="W310" s="12" t="str">
        <f>IF(T310="","",VLOOKUP(J310,Raumgruppen_Leistungswerte!$B$5:$F$35,5,FALSE))</f>
        <v/>
      </c>
      <c r="X310" s="156" t="str">
        <f t="shared" si="45"/>
        <v/>
      </c>
      <c r="Y310" s="446" t="str">
        <f t="shared" si="46"/>
        <v/>
      </c>
      <c r="Z310" s="158">
        <f t="shared" si="47"/>
        <v>29.113095238095241</v>
      </c>
      <c r="AA310" s="23" t="e">
        <f t="shared" si="48"/>
        <v>#DIV/0!</v>
      </c>
      <c r="AB310" s="445" t="e">
        <f t="shared" si="49"/>
        <v>#DIV/0!</v>
      </c>
      <c r="AC310" s="123"/>
    </row>
    <row r="311" spans="1:29" ht="12" customHeight="1">
      <c r="A311" s="11">
        <v>307</v>
      </c>
      <c r="B311" s="12" t="s">
        <v>495</v>
      </c>
      <c r="C311" s="17">
        <v>2</v>
      </c>
      <c r="D311" s="19" t="s">
        <v>577</v>
      </c>
      <c r="E311" s="17">
        <v>3</v>
      </c>
      <c r="F311" s="18" t="s">
        <v>578</v>
      </c>
      <c r="G311" s="319">
        <v>7.5</v>
      </c>
      <c r="H311" s="19" t="s">
        <v>494</v>
      </c>
      <c r="I311" s="20" t="s">
        <v>383</v>
      </c>
      <c r="J311" s="21" t="s">
        <v>251</v>
      </c>
      <c r="K311" s="12" t="s">
        <v>14</v>
      </c>
      <c r="L311" s="334">
        <f t="shared" si="50"/>
        <v>7.5</v>
      </c>
      <c r="M311" s="22">
        <v>1</v>
      </c>
      <c r="N311" s="79">
        <f>IF(K311="NV","",IF(VLOOKUP(M311,'R_Häufigkeit_Faktoren UHR'!$B$4:$I$24,7,FALSE)=0,"",VLOOKUP(M311,'R_Häufigkeit_Faktoren UHR'!$B$4:$I$24,7,FALSE)))</f>
        <v>4.3452380952380958</v>
      </c>
      <c r="O311" s="3">
        <f t="shared" si="41"/>
        <v>32.589285714285715</v>
      </c>
      <c r="P311" s="325"/>
      <c r="Q311" s="156">
        <f>IF(N311="","",VLOOKUP(J311,Raumgruppen_Leistungswerte!$B$5:$F$35,5,FALSE))</f>
        <v>0</v>
      </c>
      <c r="R311" s="157" t="e">
        <f t="shared" si="42"/>
        <v>#DIV/0!</v>
      </c>
      <c r="S311" s="445" t="e">
        <f t="shared" si="43"/>
        <v>#DIV/0!</v>
      </c>
      <c r="T311" s="78" t="str">
        <f>IF(K311="NV","",IF(VLOOKUP(M311,'R_Häufigkeit_Faktoren UHR'!$B$4:$I$24,8,FALSE)=0,"",VLOOKUP(M311,'R_Häufigkeit_Faktoren UHR'!$B$4:$I$24,8,FALSE)))</f>
        <v/>
      </c>
      <c r="U311" s="156" t="str">
        <f t="shared" si="44"/>
        <v/>
      </c>
      <c r="V311" s="427"/>
      <c r="W311" s="12" t="str">
        <f>IF(T311="","",VLOOKUP(J311,Raumgruppen_Leistungswerte!$B$5:$F$35,5,FALSE))</f>
        <v/>
      </c>
      <c r="X311" s="156" t="str">
        <f t="shared" si="45"/>
        <v/>
      </c>
      <c r="Y311" s="446" t="str">
        <f t="shared" si="46"/>
        <v/>
      </c>
      <c r="Z311" s="158">
        <f t="shared" si="47"/>
        <v>32.589285714285715</v>
      </c>
      <c r="AA311" s="23" t="e">
        <f t="shared" si="48"/>
        <v>#DIV/0!</v>
      </c>
      <c r="AB311" s="445" t="e">
        <f t="shared" si="49"/>
        <v>#DIV/0!</v>
      </c>
      <c r="AC311" s="123"/>
    </row>
    <row r="312" spans="1:29" ht="12" customHeight="1">
      <c r="A312" s="11">
        <v>308</v>
      </c>
      <c r="B312" s="12" t="s">
        <v>495</v>
      </c>
      <c r="C312" s="17">
        <v>2</v>
      </c>
      <c r="D312" s="19" t="s">
        <v>399</v>
      </c>
      <c r="E312" s="17">
        <v>3</v>
      </c>
      <c r="F312" s="18" t="s">
        <v>579</v>
      </c>
      <c r="G312" s="319">
        <v>15.7</v>
      </c>
      <c r="H312" s="19" t="s">
        <v>410</v>
      </c>
      <c r="I312" s="20" t="s">
        <v>371</v>
      </c>
      <c r="J312" s="21" t="s">
        <v>176</v>
      </c>
      <c r="K312" s="12" t="s">
        <v>14</v>
      </c>
      <c r="L312" s="319">
        <f t="shared" si="50"/>
        <v>15.7</v>
      </c>
      <c r="M312" s="22">
        <v>1</v>
      </c>
      <c r="N312" s="79">
        <f>IF(K312="NV","",IF(VLOOKUP(M312,'R_Häufigkeit_Faktoren UHR'!$B$4:$I$24,7,FALSE)=0,"",VLOOKUP(M312,'R_Häufigkeit_Faktoren UHR'!$B$4:$I$24,7,FALSE)))</f>
        <v>4.3452380952380958</v>
      </c>
      <c r="O312" s="3">
        <f t="shared" si="41"/>
        <v>68.220238095238102</v>
      </c>
      <c r="P312" s="325"/>
      <c r="Q312" s="156">
        <f>IF(N312="","",VLOOKUP(J312,Raumgruppen_Leistungswerte!$B$5:$F$35,5,FALSE))</f>
        <v>0</v>
      </c>
      <c r="R312" s="157" t="e">
        <f t="shared" si="42"/>
        <v>#DIV/0!</v>
      </c>
      <c r="S312" s="445" t="e">
        <f t="shared" si="43"/>
        <v>#DIV/0!</v>
      </c>
      <c r="T312" s="78" t="str">
        <f>IF(K312="NV","",IF(VLOOKUP(M312,'R_Häufigkeit_Faktoren UHR'!$B$4:$I$24,8,FALSE)=0,"",VLOOKUP(M312,'R_Häufigkeit_Faktoren UHR'!$B$4:$I$24,8,FALSE)))</f>
        <v/>
      </c>
      <c r="U312" s="156" t="str">
        <f t="shared" si="44"/>
        <v/>
      </c>
      <c r="V312" s="427"/>
      <c r="W312" s="12" t="str">
        <f>IF(T312="","",VLOOKUP(J312,Raumgruppen_Leistungswerte!$B$5:$F$35,5,FALSE))</f>
        <v/>
      </c>
      <c r="X312" s="156" t="str">
        <f t="shared" si="45"/>
        <v/>
      </c>
      <c r="Y312" s="446" t="str">
        <f t="shared" si="46"/>
        <v/>
      </c>
      <c r="Z312" s="158">
        <f t="shared" si="47"/>
        <v>68.220238095238102</v>
      </c>
      <c r="AA312" s="23" t="e">
        <f t="shared" si="48"/>
        <v>#DIV/0!</v>
      </c>
      <c r="AB312" s="445" t="e">
        <f t="shared" si="49"/>
        <v>#DIV/0!</v>
      </c>
      <c r="AC312" s="123"/>
    </row>
    <row r="313" spans="1:29" ht="12" customHeight="1">
      <c r="A313" s="11">
        <v>309</v>
      </c>
      <c r="B313" s="12" t="s">
        <v>495</v>
      </c>
      <c r="C313" s="17">
        <v>2</v>
      </c>
      <c r="D313" s="19" t="s">
        <v>399</v>
      </c>
      <c r="E313" s="17">
        <v>3</v>
      </c>
      <c r="F313" s="18" t="s">
        <v>580</v>
      </c>
      <c r="G313" s="319">
        <v>15.4</v>
      </c>
      <c r="H313" s="19" t="s">
        <v>410</v>
      </c>
      <c r="I313" s="20" t="s">
        <v>371</v>
      </c>
      <c r="J313" s="21" t="s">
        <v>176</v>
      </c>
      <c r="K313" s="12" t="s">
        <v>14</v>
      </c>
      <c r="L313" s="319">
        <f t="shared" si="50"/>
        <v>15.4</v>
      </c>
      <c r="M313" s="22">
        <v>1</v>
      </c>
      <c r="N313" s="79">
        <f>IF(K313="NV","",IF(VLOOKUP(M313,'R_Häufigkeit_Faktoren UHR'!$B$4:$I$24,7,FALSE)=0,"",VLOOKUP(M313,'R_Häufigkeit_Faktoren UHR'!$B$4:$I$24,7,FALSE)))</f>
        <v>4.3452380952380958</v>
      </c>
      <c r="O313" s="3">
        <f t="shared" si="41"/>
        <v>66.916666666666671</v>
      </c>
      <c r="P313" s="325"/>
      <c r="Q313" s="156">
        <f>IF(N313="","",VLOOKUP(J313,Raumgruppen_Leistungswerte!$B$5:$F$35,5,FALSE))</f>
        <v>0</v>
      </c>
      <c r="R313" s="157" t="e">
        <f t="shared" si="42"/>
        <v>#DIV/0!</v>
      </c>
      <c r="S313" s="445" t="e">
        <f t="shared" si="43"/>
        <v>#DIV/0!</v>
      </c>
      <c r="T313" s="78" t="str">
        <f>IF(K313="NV","",IF(VLOOKUP(M313,'R_Häufigkeit_Faktoren UHR'!$B$4:$I$24,8,FALSE)=0,"",VLOOKUP(M313,'R_Häufigkeit_Faktoren UHR'!$B$4:$I$24,8,FALSE)))</f>
        <v/>
      </c>
      <c r="U313" s="156" t="str">
        <f t="shared" si="44"/>
        <v/>
      </c>
      <c r="V313" s="427"/>
      <c r="W313" s="12" t="str">
        <f>IF(T313="","",VLOOKUP(J313,Raumgruppen_Leistungswerte!$B$5:$F$35,5,FALSE))</f>
        <v/>
      </c>
      <c r="X313" s="156" t="str">
        <f t="shared" si="45"/>
        <v/>
      </c>
      <c r="Y313" s="446" t="str">
        <f t="shared" si="46"/>
        <v/>
      </c>
      <c r="Z313" s="158">
        <f t="shared" si="47"/>
        <v>66.916666666666671</v>
      </c>
      <c r="AA313" s="23" t="e">
        <f t="shared" si="48"/>
        <v>#DIV/0!</v>
      </c>
      <c r="AB313" s="445" t="e">
        <f t="shared" si="49"/>
        <v>#DIV/0!</v>
      </c>
      <c r="AC313" s="123"/>
    </row>
    <row r="314" spans="1:29" ht="12" customHeight="1">
      <c r="A314" s="11">
        <v>310</v>
      </c>
      <c r="B314" s="12" t="s">
        <v>495</v>
      </c>
      <c r="C314" s="17">
        <v>2</v>
      </c>
      <c r="D314" s="19" t="s">
        <v>272</v>
      </c>
      <c r="E314" s="17">
        <v>4</v>
      </c>
      <c r="F314" s="18" t="s">
        <v>527</v>
      </c>
      <c r="G314" s="319">
        <v>50.7</v>
      </c>
      <c r="H314" s="19" t="s">
        <v>320</v>
      </c>
      <c r="I314" s="20" t="s">
        <v>383</v>
      </c>
      <c r="J314" s="21" t="s">
        <v>238</v>
      </c>
      <c r="K314" s="12" t="s">
        <v>14</v>
      </c>
      <c r="L314" s="319">
        <f t="shared" si="50"/>
        <v>50.7</v>
      </c>
      <c r="M314" s="22">
        <v>5</v>
      </c>
      <c r="N314" s="79">
        <f>IF(K314="NV","",IF(VLOOKUP(M314,'R_Häufigkeit_Faktoren UHR'!$B$4:$I$24,7,FALSE)=0,"",VLOOKUP(M314,'R_Häufigkeit_Faktoren UHR'!$B$4:$I$24,7,FALSE)))</f>
        <v>20.917857142857144</v>
      </c>
      <c r="O314" s="3">
        <f t="shared" si="41"/>
        <v>1060.5353571428573</v>
      </c>
      <c r="P314" s="325"/>
      <c r="Q314" s="156">
        <f>IF(N314="","",VLOOKUP(J314,Raumgruppen_Leistungswerte!$B$5:$F$35,5,FALSE))</f>
        <v>0</v>
      </c>
      <c r="R314" s="157" t="e">
        <f t="shared" si="42"/>
        <v>#DIV/0!</v>
      </c>
      <c r="S314" s="445" t="e">
        <f t="shared" si="43"/>
        <v>#DIV/0!</v>
      </c>
      <c r="T314" s="78" t="str">
        <f>IF(K314="NV","",IF(VLOOKUP(M314,'R_Häufigkeit_Faktoren UHR'!$B$4:$I$24,8,FALSE)=0,"",VLOOKUP(M314,'R_Häufigkeit_Faktoren UHR'!$B$4:$I$24,8,FALSE)))</f>
        <v/>
      </c>
      <c r="U314" s="156" t="str">
        <f t="shared" si="44"/>
        <v/>
      </c>
      <c r="V314" s="427"/>
      <c r="W314" s="12" t="str">
        <f>IF(T314="","",VLOOKUP(J314,Raumgruppen_Leistungswerte!$B$5:$F$35,5,FALSE))</f>
        <v/>
      </c>
      <c r="X314" s="156" t="str">
        <f t="shared" si="45"/>
        <v/>
      </c>
      <c r="Y314" s="446" t="str">
        <f t="shared" si="46"/>
        <v/>
      </c>
      <c r="Z314" s="158">
        <f t="shared" si="47"/>
        <v>1060.5353571428573</v>
      </c>
      <c r="AA314" s="23" t="e">
        <f t="shared" si="48"/>
        <v>#DIV/0!</v>
      </c>
      <c r="AB314" s="445" t="e">
        <f t="shared" si="49"/>
        <v>#DIV/0!</v>
      </c>
      <c r="AC314" s="123"/>
    </row>
    <row r="315" spans="1:29" ht="12" customHeight="1">
      <c r="A315" s="11">
        <v>311</v>
      </c>
      <c r="B315" s="12" t="s">
        <v>495</v>
      </c>
      <c r="C315" s="17">
        <v>2</v>
      </c>
      <c r="D315" s="19" t="s">
        <v>272</v>
      </c>
      <c r="E315" s="17">
        <v>4</v>
      </c>
      <c r="F315" s="18" t="s">
        <v>581</v>
      </c>
      <c r="G315" s="319">
        <v>204.1</v>
      </c>
      <c r="H315" s="19" t="s">
        <v>582</v>
      </c>
      <c r="I315" s="20" t="s">
        <v>383</v>
      </c>
      <c r="J315" s="21" t="s">
        <v>245</v>
      </c>
      <c r="K315" s="12" t="s">
        <v>14</v>
      </c>
      <c r="L315" s="334">
        <f t="shared" si="50"/>
        <v>204.1</v>
      </c>
      <c r="M315" s="22">
        <v>3</v>
      </c>
      <c r="N315" s="79">
        <f>IF(K315="NV","",IF(VLOOKUP(M315,'R_Häufigkeit_Faktoren UHR'!$B$4:$I$24,7,FALSE)=0,"",VLOOKUP(M315,'R_Häufigkeit_Faktoren UHR'!$B$4:$I$24,7,FALSE)))</f>
        <v>13.035714285714286</v>
      </c>
      <c r="O315" s="3">
        <f t="shared" si="41"/>
        <v>2660.5892857142858</v>
      </c>
      <c r="P315" s="325"/>
      <c r="Q315" s="156">
        <f>IF(N315="","",VLOOKUP(J315,Raumgruppen_Leistungswerte!$B$5:$F$35,5,FALSE))</f>
        <v>0</v>
      </c>
      <c r="R315" s="157" t="e">
        <f t="shared" si="42"/>
        <v>#DIV/0!</v>
      </c>
      <c r="S315" s="445" t="e">
        <f t="shared" si="43"/>
        <v>#DIV/0!</v>
      </c>
      <c r="T315" s="78" t="str">
        <f>IF(K315="NV","",IF(VLOOKUP(M315,'R_Häufigkeit_Faktoren UHR'!$B$4:$I$24,8,FALSE)=0,"",VLOOKUP(M315,'R_Häufigkeit_Faktoren UHR'!$B$4:$I$24,8,FALSE)))</f>
        <v/>
      </c>
      <c r="U315" s="156" t="str">
        <f t="shared" si="44"/>
        <v/>
      </c>
      <c r="V315" s="427"/>
      <c r="W315" s="12" t="str">
        <f>IF(T315="","",VLOOKUP(J315,Raumgruppen_Leistungswerte!$B$5:$F$35,5,FALSE))</f>
        <v/>
      </c>
      <c r="X315" s="156" t="str">
        <f t="shared" si="45"/>
        <v/>
      </c>
      <c r="Y315" s="446" t="str">
        <f t="shared" si="46"/>
        <v/>
      </c>
      <c r="Z315" s="158">
        <f t="shared" si="47"/>
        <v>2660.5892857142858</v>
      </c>
      <c r="AA315" s="23" t="e">
        <f t="shared" si="48"/>
        <v>#DIV/0!</v>
      </c>
      <c r="AB315" s="445" t="e">
        <f t="shared" si="49"/>
        <v>#DIV/0!</v>
      </c>
      <c r="AC315" s="123"/>
    </row>
    <row r="316" spans="1:29" ht="12" customHeight="1">
      <c r="A316" s="11">
        <v>312</v>
      </c>
      <c r="B316" s="12" t="s">
        <v>495</v>
      </c>
      <c r="C316" s="17">
        <v>2</v>
      </c>
      <c r="D316" s="19" t="s">
        <v>272</v>
      </c>
      <c r="E316" s="17">
        <v>4</v>
      </c>
      <c r="F316" s="18" t="s">
        <v>583</v>
      </c>
      <c r="G316" s="319">
        <v>1.9</v>
      </c>
      <c r="H316" s="19" t="s">
        <v>381</v>
      </c>
      <c r="I316" s="20" t="s">
        <v>383</v>
      </c>
      <c r="J316" s="21" t="s">
        <v>245</v>
      </c>
      <c r="K316" s="12" t="s">
        <v>14</v>
      </c>
      <c r="L316" s="334">
        <f t="shared" si="50"/>
        <v>1.9</v>
      </c>
      <c r="M316" s="22">
        <v>5</v>
      </c>
      <c r="N316" s="79">
        <f>IF(K316="NV","",IF(VLOOKUP(M316,'R_Häufigkeit_Faktoren UHR'!$B$4:$I$24,7,FALSE)=0,"",VLOOKUP(M316,'R_Häufigkeit_Faktoren UHR'!$B$4:$I$24,7,FALSE)))</f>
        <v>20.917857142857144</v>
      </c>
      <c r="O316" s="3">
        <f t="shared" si="41"/>
        <v>39.743928571428576</v>
      </c>
      <c r="P316" s="325"/>
      <c r="Q316" s="156">
        <f>IF(N316="","",VLOOKUP(J316,Raumgruppen_Leistungswerte!$B$5:$F$35,5,FALSE))</f>
        <v>0</v>
      </c>
      <c r="R316" s="157" t="e">
        <f t="shared" si="42"/>
        <v>#DIV/0!</v>
      </c>
      <c r="S316" s="445" t="e">
        <f t="shared" si="43"/>
        <v>#DIV/0!</v>
      </c>
      <c r="T316" s="78" t="str">
        <f>IF(K316="NV","",IF(VLOOKUP(M316,'R_Häufigkeit_Faktoren UHR'!$B$4:$I$24,8,FALSE)=0,"",VLOOKUP(M316,'R_Häufigkeit_Faktoren UHR'!$B$4:$I$24,8,FALSE)))</f>
        <v/>
      </c>
      <c r="U316" s="156" t="str">
        <f t="shared" si="44"/>
        <v/>
      </c>
      <c r="V316" s="427"/>
      <c r="W316" s="12" t="str">
        <f>IF(T316="","",VLOOKUP(J316,Raumgruppen_Leistungswerte!$B$5:$F$35,5,FALSE))</f>
        <v/>
      </c>
      <c r="X316" s="156" t="str">
        <f t="shared" si="45"/>
        <v/>
      </c>
      <c r="Y316" s="446" t="str">
        <f t="shared" si="46"/>
        <v/>
      </c>
      <c r="Z316" s="158">
        <f t="shared" si="47"/>
        <v>39.743928571428576</v>
      </c>
      <c r="AA316" s="23" t="e">
        <f t="shared" si="48"/>
        <v>#DIV/0!</v>
      </c>
      <c r="AB316" s="445" t="e">
        <f t="shared" si="49"/>
        <v>#DIV/0!</v>
      </c>
      <c r="AC316" s="123"/>
    </row>
    <row r="317" spans="1:29" ht="12" customHeight="1">
      <c r="A317" s="11">
        <v>313</v>
      </c>
      <c r="B317" s="12" t="s">
        <v>495</v>
      </c>
      <c r="C317" s="17">
        <v>2</v>
      </c>
      <c r="D317" s="19" t="s">
        <v>272</v>
      </c>
      <c r="E317" s="17">
        <v>5</v>
      </c>
      <c r="F317" s="18" t="s">
        <v>531</v>
      </c>
      <c r="G317" s="319">
        <v>96</v>
      </c>
      <c r="H317" s="19" t="s">
        <v>320</v>
      </c>
      <c r="I317" s="14" t="s">
        <v>383</v>
      </c>
      <c r="J317" s="21" t="s">
        <v>238</v>
      </c>
      <c r="K317" s="12" t="s">
        <v>14</v>
      </c>
      <c r="L317" s="319">
        <f t="shared" si="50"/>
        <v>96</v>
      </c>
      <c r="M317" s="22">
        <v>5</v>
      </c>
      <c r="N317" s="79">
        <f>IF(K317="NV","",IF(VLOOKUP(M317,'R_Häufigkeit_Faktoren UHR'!$B$4:$I$24,7,FALSE)=0,"",VLOOKUP(M317,'R_Häufigkeit_Faktoren UHR'!$B$4:$I$24,7,FALSE)))</f>
        <v>20.917857142857144</v>
      </c>
      <c r="O317" s="3">
        <f t="shared" si="41"/>
        <v>2008.1142857142859</v>
      </c>
      <c r="P317" s="325"/>
      <c r="Q317" s="156">
        <f>IF(N317="","",VLOOKUP(J317,Raumgruppen_Leistungswerte!$B$5:$F$35,5,FALSE))</f>
        <v>0</v>
      </c>
      <c r="R317" s="157" t="e">
        <f t="shared" si="42"/>
        <v>#DIV/0!</v>
      </c>
      <c r="S317" s="445" t="e">
        <f t="shared" si="43"/>
        <v>#DIV/0!</v>
      </c>
      <c r="T317" s="78" t="str">
        <f>IF(K317="NV","",IF(VLOOKUP(M317,'R_Häufigkeit_Faktoren UHR'!$B$4:$I$24,8,FALSE)=0,"",VLOOKUP(M317,'R_Häufigkeit_Faktoren UHR'!$B$4:$I$24,8,FALSE)))</f>
        <v/>
      </c>
      <c r="U317" s="156" t="str">
        <f t="shared" si="44"/>
        <v/>
      </c>
      <c r="V317" s="427"/>
      <c r="W317" s="12" t="str">
        <f>IF(T317="","",VLOOKUP(J317,Raumgruppen_Leistungswerte!$B$5:$F$35,5,FALSE))</f>
        <v/>
      </c>
      <c r="X317" s="156" t="str">
        <f t="shared" si="45"/>
        <v/>
      </c>
      <c r="Y317" s="446" t="str">
        <f t="shared" si="46"/>
        <v/>
      </c>
      <c r="Z317" s="158">
        <f t="shared" si="47"/>
        <v>2008.1142857142859</v>
      </c>
      <c r="AA317" s="23" t="e">
        <f t="shared" si="48"/>
        <v>#DIV/0!</v>
      </c>
      <c r="AB317" s="445" t="e">
        <f t="shared" si="49"/>
        <v>#DIV/0!</v>
      </c>
      <c r="AC317" s="123"/>
    </row>
    <row r="318" spans="1:29" ht="12" customHeight="1">
      <c r="A318" s="11">
        <v>314</v>
      </c>
      <c r="B318" s="12" t="s">
        <v>495</v>
      </c>
      <c r="C318" s="17">
        <v>2</v>
      </c>
      <c r="D318" s="19" t="s">
        <v>372</v>
      </c>
      <c r="E318" s="17">
        <v>5</v>
      </c>
      <c r="F318" s="18" t="s">
        <v>584</v>
      </c>
      <c r="G318" s="319">
        <v>12.8</v>
      </c>
      <c r="H318" s="19" t="s">
        <v>494</v>
      </c>
      <c r="I318" s="20" t="s">
        <v>383</v>
      </c>
      <c r="J318" s="21" t="s">
        <v>251</v>
      </c>
      <c r="K318" s="12" t="s">
        <v>14</v>
      </c>
      <c r="L318" s="334">
        <f t="shared" si="50"/>
        <v>12.8</v>
      </c>
      <c r="M318" s="22">
        <v>1</v>
      </c>
      <c r="N318" s="79">
        <f>IF(K318="NV","",IF(VLOOKUP(M318,'R_Häufigkeit_Faktoren UHR'!$B$4:$I$24,7,FALSE)=0,"",VLOOKUP(M318,'R_Häufigkeit_Faktoren UHR'!$B$4:$I$24,7,FALSE)))</f>
        <v>4.3452380952380958</v>
      </c>
      <c r="O318" s="3">
        <f t="shared" si="41"/>
        <v>55.619047619047628</v>
      </c>
      <c r="P318" s="325"/>
      <c r="Q318" s="156">
        <f>IF(N318="","",VLOOKUP(J318,Raumgruppen_Leistungswerte!$B$5:$F$35,5,FALSE))</f>
        <v>0</v>
      </c>
      <c r="R318" s="157" t="e">
        <f t="shared" si="42"/>
        <v>#DIV/0!</v>
      </c>
      <c r="S318" s="445" t="e">
        <f t="shared" si="43"/>
        <v>#DIV/0!</v>
      </c>
      <c r="T318" s="78" t="str">
        <f>IF(K318="NV","",IF(VLOOKUP(M318,'R_Häufigkeit_Faktoren UHR'!$B$4:$I$24,8,FALSE)=0,"",VLOOKUP(M318,'R_Häufigkeit_Faktoren UHR'!$B$4:$I$24,8,FALSE)))</f>
        <v/>
      </c>
      <c r="U318" s="156" t="str">
        <f t="shared" si="44"/>
        <v/>
      </c>
      <c r="V318" s="427"/>
      <c r="W318" s="12" t="str">
        <f>IF(T318="","",VLOOKUP(J318,Raumgruppen_Leistungswerte!$B$5:$F$35,5,FALSE))</f>
        <v/>
      </c>
      <c r="X318" s="156" t="str">
        <f t="shared" si="45"/>
        <v/>
      </c>
      <c r="Y318" s="446" t="str">
        <f t="shared" si="46"/>
        <v/>
      </c>
      <c r="Z318" s="158">
        <f t="shared" si="47"/>
        <v>55.619047619047628</v>
      </c>
      <c r="AA318" s="23" t="e">
        <f t="shared" si="48"/>
        <v>#DIV/0!</v>
      </c>
      <c r="AB318" s="445" t="e">
        <f t="shared" si="49"/>
        <v>#DIV/0!</v>
      </c>
      <c r="AC318" s="123"/>
    </row>
    <row r="319" spans="1:29" ht="12" customHeight="1">
      <c r="A319" s="11">
        <v>315</v>
      </c>
      <c r="B319" s="12" t="s">
        <v>495</v>
      </c>
      <c r="C319" s="17">
        <v>2</v>
      </c>
      <c r="D319" s="19" t="s">
        <v>372</v>
      </c>
      <c r="E319" s="17">
        <v>5</v>
      </c>
      <c r="F319" s="18" t="s">
        <v>585</v>
      </c>
      <c r="G319" s="319">
        <v>34</v>
      </c>
      <c r="H319" s="19" t="s">
        <v>410</v>
      </c>
      <c r="I319" s="20" t="s">
        <v>371</v>
      </c>
      <c r="J319" s="21" t="s">
        <v>176</v>
      </c>
      <c r="K319" s="12" t="s">
        <v>14</v>
      </c>
      <c r="L319" s="319">
        <f t="shared" si="50"/>
        <v>34</v>
      </c>
      <c r="M319" s="22">
        <v>1</v>
      </c>
      <c r="N319" s="79">
        <f>IF(K319="NV","",IF(VLOOKUP(M319,'R_Häufigkeit_Faktoren UHR'!$B$4:$I$24,7,FALSE)=0,"",VLOOKUP(M319,'R_Häufigkeit_Faktoren UHR'!$B$4:$I$24,7,FALSE)))</f>
        <v>4.3452380952380958</v>
      </c>
      <c r="O319" s="3">
        <f t="shared" si="41"/>
        <v>147.73809523809527</v>
      </c>
      <c r="P319" s="325"/>
      <c r="Q319" s="156">
        <f>IF(N319="","",VLOOKUP(J319,Raumgruppen_Leistungswerte!$B$5:$F$35,5,FALSE))</f>
        <v>0</v>
      </c>
      <c r="R319" s="157" t="e">
        <f t="shared" si="42"/>
        <v>#DIV/0!</v>
      </c>
      <c r="S319" s="445" t="e">
        <f t="shared" si="43"/>
        <v>#DIV/0!</v>
      </c>
      <c r="T319" s="78" t="str">
        <f>IF(K319="NV","",IF(VLOOKUP(M319,'R_Häufigkeit_Faktoren UHR'!$B$4:$I$24,8,FALSE)=0,"",VLOOKUP(M319,'R_Häufigkeit_Faktoren UHR'!$B$4:$I$24,8,FALSE)))</f>
        <v/>
      </c>
      <c r="U319" s="156" t="str">
        <f t="shared" si="44"/>
        <v/>
      </c>
      <c r="V319" s="427"/>
      <c r="W319" s="12" t="str">
        <f>IF(T319="","",VLOOKUP(J319,Raumgruppen_Leistungswerte!$B$5:$F$35,5,FALSE))</f>
        <v/>
      </c>
      <c r="X319" s="156" t="str">
        <f t="shared" si="45"/>
        <v/>
      </c>
      <c r="Y319" s="446" t="str">
        <f t="shared" si="46"/>
        <v/>
      </c>
      <c r="Z319" s="158">
        <f t="shared" si="47"/>
        <v>147.73809523809527</v>
      </c>
      <c r="AA319" s="23" t="e">
        <f t="shared" si="48"/>
        <v>#DIV/0!</v>
      </c>
      <c r="AB319" s="445" t="e">
        <f t="shared" si="49"/>
        <v>#DIV/0!</v>
      </c>
      <c r="AC319" s="123"/>
    </row>
    <row r="320" spans="1:29" ht="12" customHeight="1">
      <c r="A320" s="11">
        <v>316</v>
      </c>
      <c r="B320" s="12" t="s">
        <v>495</v>
      </c>
      <c r="C320" s="17">
        <v>2</v>
      </c>
      <c r="D320" s="19" t="s">
        <v>372</v>
      </c>
      <c r="E320" s="17">
        <v>5</v>
      </c>
      <c r="F320" s="18" t="s">
        <v>586</v>
      </c>
      <c r="G320" s="319">
        <v>60.8</v>
      </c>
      <c r="H320" s="19" t="s">
        <v>587</v>
      </c>
      <c r="I320" s="20" t="s">
        <v>383</v>
      </c>
      <c r="J320" s="21" t="s">
        <v>219</v>
      </c>
      <c r="K320" s="12" t="s">
        <v>14</v>
      </c>
      <c r="L320" s="319">
        <f t="shared" si="50"/>
        <v>60.8</v>
      </c>
      <c r="M320" s="22">
        <v>5</v>
      </c>
      <c r="N320" s="79">
        <f>IF(K320="NV","",IF(VLOOKUP(M320,'R_Häufigkeit_Faktoren UHR'!$B$4:$I$24,7,FALSE)=0,"",VLOOKUP(M320,'R_Häufigkeit_Faktoren UHR'!$B$4:$I$24,7,FALSE)))</f>
        <v>20.917857142857144</v>
      </c>
      <c r="O320" s="3">
        <f t="shared" si="41"/>
        <v>1271.8057142857144</v>
      </c>
      <c r="P320" s="325"/>
      <c r="Q320" s="156">
        <f>IF(N320="","",VLOOKUP(J320,Raumgruppen_Leistungswerte!$B$5:$F$35,5,FALSE))</f>
        <v>0</v>
      </c>
      <c r="R320" s="157" t="e">
        <f t="shared" si="42"/>
        <v>#DIV/0!</v>
      </c>
      <c r="S320" s="445" t="e">
        <f t="shared" si="43"/>
        <v>#DIV/0!</v>
      </c>
      <c r="T320" s="78" t="str">
        <f>IF(K320="NV","",IF(VLOOKUP(M320,'R_Häufigkeit_Faktoren UHR'!$B$4:$I$24,8,FALSE)=0,"",VLOOKUP(M320,'R_Häufigkeit_Faktoren UHR'!$B$4:$I$24,8,FALSE)))</f>
        <v/>
      </c>
      <c r="U320" s="156" t="str">
        <f t="shared" si="44"/>
        <v/>
      </c>
      <c r="V320" s="427"/>
      <c r="W320" s="12" t="str">
        <f>IF(T320="","",VLOOKUP(J320,Raumgruppen_Leistungswerte!$B$5:$F$35,5,FALSE))</f>
        <v/>
      </c>
      <c r="X320" s="156" t="str">
        <f t="shared" si="45"/>
        <v/>
      </c>
      <c r="Y320" s="446" t="str">
        <f t="shared" si="46"/>
        <v/>
      </c>
      <c r="Z320" s="158">
        <f t="shared" si="47"/>
        <v>1271.8057142857144</v>
      </c>
      <c r="AA320" s="23" t="e">
        <f t="shared" si="48"/>
        <v>#DIV/0!</v>
      </c>
      <c r="AB320" s="445" t="e">
        <f t="shared" si="49"/>
        <v>#DIV/0!</v>
      </c>
      <c r="AC320" s="123"/>
    </row>
    <row r="321" spans="1:29" ht="12" customHeight="1">
      <c r="A321" s="11">
        <v>317</v>
      </c>
      <c r="B321" s="12" t="s">
        <v>495</v>
      </c>
      <c r="C321" s="17">
        <v>2</v>
      </c>
      <c r="D321" s="19" t="s">
        <v>372</v>
      </c>
      <c r="E321" s="17">
        <v>5</v>
      </c>
      <c r="F321" s="18" t="s">
        <v>588</v>
      </c>
      <c r="G321" s="319">
        <v>60.8</v>
      </c>
      <c r="H321" s="19" t="s">
        <v>587</v>
      </c>
      <c r="I321" s="20" t="s">
        <v>383</v>
      </c>
      <c r="J321" s="21" t="s">
        <v>219</v>
      </c>
      <c r="K321" s="12" t="s">
        <v>14</v>
      </c>
      <c r="L321" s="319">
        <f t="shared" si="50"/>
        <v>60.8</v>
      </c>
      <c r="M321" s="22">
        <v>5</v>
      </c>
      <c r="N321" s="79">
        <f>IF(K321="NV","",IF(VLOOKUP(M321,'R_Häufigkeit_Faktoren UHR'!$B$4:$I$24,7,FALSE)=0,"",VLOOKUP(M321,'R_Häufigkeit_Faktoren UHR'!$B$4:$I$24,7,FALSE)))</f>
        <v>20.917857142857144</v>
      </c>
      <c r="O321" s="3">
        <f t="shared" si="41"/>
        <v>1271.8057142857144</v>
      </c>
      <c r="P321" s="325"/>
      <c r="Q321" s="156">
        <f>IF(N321="","",VLOOKUP(J321,Raumgruppen_Leistungswerte!$B$5:$F$35,5,FALSE))</f>
        <v>0</v>
      </c>
      <c r="R321" s="157" t="e">
        <f t="shared" si="42"/>
        <v>#DIV/0!</v>
      </c>
      <c r="S321" s="445" t="e">
        <f t="shared" si="43"/>
        <v>#DIV/0!</v>
      </c>
      <c r="T321" s="78" t="str">
        <f>IF(K321="NV","",IF(VLOOKUP(M321,'R_Häufigkeit_Faktoren UHR'!$B$4:$I$24,8,FALSE)=0,"",VLOOKUP(M321,'R_Häufigkeit_Faktoren UHR'!$B$4:$I$24,8,FALSE)))</f>
        <v/>
      </c>
      <c r="U321" s="156" t="str">
        <f t="shared" si="44"/>
        <v/>
      </c>
      <c r="V321" s="427"/>
      <c r="W321" s="12" t="str">
        <f>IF(T321="","",VLOOKUP(J321,Raumgruppen_Leistungswerte!$B$5:$F$35,5,FALSE))</f>
        <v/>
      </c>
      <c r="X321" s="156" t="str">
        <f t="shared" si="45"/>
        <v/>
      </c>
      <c r="Y321" s="446" t="str">
        <f t="shared" si="46"/>
        <v/>
      </c>
      <c r="Z321" s="158">
        <f t="shared" si="47"/>
        <v>1271.8057142857144</v>
      </c>
      <c r="AA321" s="23" t="e">
        <f t="shared" si="48"/>
        <v>#DIV/0!</v>
      </c>
      <c r="AB321" s="445" t="e">
        <f t="shared" si="49"/>
        <v>#DIV/0!</v>
      </c>
      <c r="AC321" s="123"/>
    </row>
    <row r="322" spans="1:29" ht="12" customHeight="1">
      <c r="A322" s="11">
        <v>318</v>
      </c>
      <c r="B322" s="12" t="s">
        <v>495</v>
      </c>
      <c r="C322" s="17">
        <v>2</v>
      </c>
      <c r="D322" s="19" t="s">
        <v>372</v>
      </c>
      <c r="E322" s="17">
        <v>5</v>
      </c>
      <c r="F322" s="18" t="s">
        <v>589</v>
      </c>
      <c r="G322" s="319">
        <v>33.9</v>
      </c>
      <c r="H322" s="19" t="s">
        <v>410</v>
      </c>
      <c r="I322" s="14" t="s">
        <v>371</v>
      </c>
      <c r="J322" s="15" t="s">
        <v>176</v>
      </c>
      <c r="K322" s="12" t="s">
        <v>14</v>
      </c>
      <c r="L322" s="319">
        <f t="shared" si="50"/>
        <v>33.9</v>
      </c>
      <c r="M322" s="22">
        <v>1</v>
      </c>
      <c r="N322" s="79">
        <f>IF(K322="NV","",IF(VLOOKUP(M322,'R_Häufigkeit_Faktoren UHR'!$B$4:$I$24,7,FALSE)=0,"",VLOOKUP(M322,'R_Häufigkeit_Faktoren UHR'!$B$4:$I$24,7,FALSE)))</f>
        <v>4.3452380952380958</v>
      </c>
      <c r="O322" s="3">
        <f t="shared" si="41"/>
        <v>147.30357142857144</v>
      </c>
      <c r="P322" s="325"/>
      <c r="Q322" s="156">
        <f>IF(N322="","",VLOOKUP(J322,Raumgruppen_Leistungswerte!$B$5:$F$35,5,FALSE))</f>
        <v>0</v>
      </c>
      <c r="R322" s="157" t="e">
        <f t="shared" si="42"/>
        <v>#DIV/0!</v>
      </c>
      <c r="S322" s="445" t="e">
        <f t="shared" si="43"/>
        <v>#DIV/0!</v>
      </c>
      <c r="T322" s="78" t="str">
        <f>IF(K322="NV","",IF(VLOOKUP(M322,'R_Häufigkeit_Faktoren UHR'!$B$4:$I$24,8,FALSE)=0,"",VLOOKUP(M322,'R_Häufigkeit_Faktoren UHR'!$B$4:$I$24,8,FALSE)))</f>
        <v/>
      </c>
      <c r="U322" s="156" t="str">
        <f t="shared" si="44"/>
        <v/>
      </c>
      <c r="V322" s="427"/>
      <c r="W322" s="12" t="str">
        <f>IF(T322="","",VLOOKUP(J322,Raumgruppen_Leistungswerte!$B$5:$F$35,5,FALSE))</f>
        <v/>
      </c>
      <c r="X322" s="156" t="str">
        <f t="shared" si="45"/>
        <v/>
      </c>
      <c r="Y322" s="446" t="str">
        <f t="shared" si="46"/>
        <v/>
      </c>
      <c r="Z322" s="158">
        <f t="shared" si="47"/>
        <v>147.30357142857144</v>
      </c>
      <c r="AA322" s="23" t="e">
        <f t="shared" si="48"/>
        <v>#DIV/0!</v>
      </c>
      <c r="AB322" s="445" t="e">
        <f t="shared" si="49"/>
        <v>#DIV/0!</v>
      </c>
      <c r="AC322" s="123"/>
    </row>
    <row r="323" spans="1:29" ht="12" customHeight="1">
      <c r="A323" s="11">
        <v>319</v>
      </c>
      <c r="B323" s="12" t="s">
        <v>495</v>
      </c>
      <c r="C323" s="17">
        <v>2</v>
      </c>
      <c r="D323" s="19" t="s">
        <v>372</v>
      </c>
      <c r="E323" s="17">
        <v>5</v>
      </c>
      <c r="F323" s="316" t="s">
        <v>590</v>
      </c>
      <c r="G323" s="319">
        <v>50.3</v>
      </c>
      <c r="H323" s="317" t="s">
        <v>554</v>
      </c>
      <c r="I323" s="14" t="s">
        <v>383</v>
      </c>
      <c r="J323" s="21" t="s">
        <v>219</v>
      </c>
      <c r="K323" s="12" t="s">
        <v>14</v>
      </c>
      <c r="L323" s="319">
        <f t="shared" si="50"/>
        <v>50.3</v>
      </c>
      <c r="M323" s="22">
        <v>5</v>
      </c>
      <c r="N323" s="79">
        <f>IF(K323="NV","",IF(VLOOKUP(M323,'R_Häufigkeit_Faktoren UHR'!$B$4:$I$24,7,FALSE)=0,"",VLOOKUP(M323,'R_Häufigkeit_Faktoren UHR'!$B$4:$I$24,7,FALSE)))</f>
        <v>20.917857142857144</v>
      </c>
      <c r="O323" s="3">
        <f t="shared" si="41"/>
        <v>1052.1682142857144</v>
      </c>
      <c r="P323" s="325"/>
      <c r="Q323" s="156">
        <f>IF(N323="","",VLOOKUP(J323,Raumgruppen_Leistungswerte!$B$5:$F$35,5,FALSE))</f>
        <v>0</v>
      </c>
      <c r="R323" s="157" t="e">
        <f t="shared" si="42"/>
        <v>#DIV/0!</v>
      </c>
      <c r="S323" s="445" t="e">
        <f t="shared" si="43"/>
        <v>#DIV/0!</v>
      </c>
      <c r="T323" s="78" t="str">
        <f>IF(K323="NV","",IF(VLOOKUP(M323,'R_Häufigkeit_Faktoren UHR'!$B$4:$I$24,8,FALSE)=0,"",VLOOKUP(M323,'R_Häufigkeit_Faktoren UHR'!$B$4:$I$24,8,FALSE)))</f>
        <v/>
      </c>
      <c r="U323" s="156" t="str">
        <f t="shared" si="44"/>
        <v/>
      </c>
      <c r="V323" s="427"/>
      <c r="W323" s="12" t="str">
        <f>IF(T323="","",VLOOKUP(J323,Raumgruppen_Leistungswerte!$B$5:$F$35,5,FALSE))</f>
        <v/>
      </c>
      <c r="X323" s="156" t="str">
        <f t="shared" si="45"/>
        <v/>
      </c>
      <c r="Y323" s="446" t="str">
        <f t="shared" si="46"/>
        <v/>
      </c>
      <c r="Z323" s="158">
        <f t="shared" si="47"/>
        <v>1052.1682142857144</v>
      </c>
      <c r="AA323" s="23" t="e">
        <f t="shared" si="48"/>
        <v>#DIV/0!</v>
      </c>
      <c r="AB323" s="445" t="e">
        <f t="shared" si="49"/>
        <v>#DIV/0!</v>
      </c>
      <c r="AC323" s="123"/>
    </row>
    <row r="324" spans="1:29" ht="12" customHeight="1">
      <c r="A324" s="11">
        <v>320</v>
      </c>
      <c r="B324" s="12" t="s">
        <v>495</v>
      </c>
      <c r="C324" s="17">
        <v>2</v>
      </c>
      <c r="D324" s="19" t="s">
        <v>416</v>
      </c>
      <c r="E324" s="17">
        <v>5</v>
      </c>
      <c r="F324" s="316" t="s">
        <v>524</v>
      </c>
      <c r="G324" s="319">
        <v>21</v>
      </c>
      <c r="H324" s="317" t="s">
        <v>418</v>
      </c>
      <c r="I324" s="20" t="s">
        <v>383</v>
      </c>
      <c r="J324" s="21" t="s">
        <v>121</v>
      </c>
      <c r="K324" s="12" t="s">
        <v>173</v>
      </c>
      <c r="L324" s="334" t="str">
        <f t="shared" si="50"/>
        <v/>
      </c>
      <c r="M324" s="22"/>
      <c r="N324" s="79" t="str">
        <f>IF(K324="NV","",IF(VLOOKUP(M324,'R_Häufigkeit_Faktoren UHR'!$B$4:$I$24,7,FALSE)=0,"",VLOOKUP(M324,'R_Häufigkeit_Faktoren UHR'!$B$4:$I$24,7,FALSE)))</f>
        <v/>
      </c>
      <c r="O324" s="3" t="str">
        <f t="shared" si="41"/>
        <v/>
      </c>
      <c r="P324" s="325"/>
      <c r="Q324" s="156" t="str">
        <f>IF(N324="","",VLOOKUP(J324,Raumgruppen_Leistungswerte!$B$5:$F$35,5,FALSE))</f>
        <v/>
      </c>
      <c r="R324" s="157" t="str">
        <f t="shared" si="42"/>
        <v/>
      </c>
      <c r="S324" s="445" t="str">
        <f t="shared" si="43"/>
        <v/>
      </c>
      <c r="T324" s="78" t="str">
        <f>IF(K324="NV","",IF(VLOOKUP(M324,'R_Häufigkeit_Faktoren UHR'!$B$4:$I$24,8,FALSE)=0,"",VLOOKUP(M324,'R_Häufigkeit_Faktoren UHR'!$B$4:$I$24,8,FALSE)))</f>
        <v/>
      </c>
      <c r="U324" s="156" t="str">
        <f t="shared" si="44"/>
        <v/>
      </c>
      <c r="V324" s="427"/>
      <c r="W324" s="12" t="str">
        <f>IF(T324="","",VLOOKUP(J324,Raumgruppen_Leistungswerte!$B$5:$F$35,5,FALSE))</f>
        <v/>
      </c>
      <c r="X324" s="156" t="str">
        <f t="shared" si="45"/>
        <v/>
      </c>
      <c r="Y324" s="446" t="str">
        <f t="shared" si="46"/>
        <v/>
      </c>
      <c r="Z324" s="158" t="str">
        <f t="shared" si="47"/>
        <v/>
      </c>
      <c r="AA324" s="23" t="str">
        <f t="shared" si="48"/>
        <v/>
      </c>
      <c r="AB324" s="445" t="str">
        <f t="shared" si="49"/>
        <v/>
      </c>
      <c r="AC324" s="123"/>
    </row>
    <row r="325" spans="1:29" ht="12" customHeight="1">
      <c r="A325" s="11">
        <v>321</v>
      </c>
      <c r="B325" s="12" t="s">
        <v>495</v>
      </c>
      <c r="C325" s="17">
        <v>2</v>
      </c>
      <c r="D325" s="19" t="s">
        <v>416</v>
      </c>
      <c r="E325" s="17">
        <v>5</v>
      </c>
      <c r="F325" s="316" t="s">
        <v>558</v>
      </c>
      <c r="G325" s="319">
        <v>7</v>
      </c>
      <c r="H325" s="317" t="s">
        <v>418</v>
      </c>
      <c r="I325" s="20" t="s">
        <v>383</v>
      </c>
      <c r="J325" s="21" t="s">
        <v>121</v>
      </c>
      <c r="K325" s="12" t="s">
        <v>173</v>
      </c>
      <c r="L325" s="334" t="str">
        <f t="shared" si="50"/>
        <v/>
      </c>
      <c r="M325" s="22"/>
      <c r="N325" s="79" t="str">
        <f>IF(K325="NV","",IF(VLOOKUP(M325,'R_Häufigkeit_Faktoren UHR'!$B$4:$I$24,7,FALSE)=0,"",VLOOKUP(M325,'R_Häufigkeit_Faktoren UHR'!$B$4:$I$24,7,FALSE)))</f>
        <v/>
      </c>
      <c r="O325" s="3" t="str">
        <f t="shared" si="41"/>
        <v/>
      </c>
      <c r="P325" s="325"/>
      <c r="Q325" s="156" t="str">
        <f>IF(N325="","",VLOOKUP(J325,Raumgruppen_Leistungswerte!$B$5:$F$35,5,FALSE))</f>
        <v/>
      </c>
      <c r="R325" s="157" t="str">
        <f t="shared" si="42"/>
        <v/>
      </c>
      <c r="S325" s="445" t="str">
        <f t="shared" si="43"/>
        <v/>
      </c>
      <c r="T325" s="78" t="str">
        <f>IF(K325="NV","",IF(VLOOKUP(M325,'R_Häufigkeit_Faktoren UHR'!$B$4:$I$24,8,FALSE)=0,"",VLOOKUP(M325,'R_Häufigkeit_Faktoren UHR'!$B$4:$I$24,8,FALSE)))</f>
        <v/>
      </c>
      <c r="U325" s="156" t="str">
        <f t="shared" si="44"/>
        <v/>
      </c>
      <c r="V325" s="427"/>
      <c r="W325" s="12" t="str">
        <f>IF(T325="","",VLOOKUP(J325,Raumgruppen_Leistungswerte!$B$5:$F$35,5,FALSE))</f>
        <v/>
      </c>
      <c r="X325" s="156" t="str">
        <f t="shared" si="45"/>
        <v/>
      </c>
      <c r="Y325" s="446" t="str">
        <f t="shared" si="46"/>
        <v/>
      </c>
      <c r="Z325" s="158" t="str">
        <f t="shared" si="47"/>
        <v/>
      </c>
      <c r="AA325" s="23" t="str">
        <f t="shared" si="48"/>
        <v/>
      </c>
      <c r="AB325" s="445" t="str">
        <f t="shared" si="49"/>
        <v/>
      </c>
      <c r="AC325" s="123"/>
    </row>
    <row r="326" spans="1:29" ht="12" customHeight="1">
      <c r="A326" s="11">
        <v>322</v>
      </c>
      <c r="B326" s="12" t="s">
        <v>495</v>
      </c>
      <c r="C326" s="17">
        <v>2</v>
      </c>
      <c r="D326" s="19" t="s">
        <v>369</v>
      </c>
      <c r="E326" s="17">
        <v>5</v>
      </c>
      <c r="F326" s="316" t="s">
        <v>591</v>
      </c>
      <c r="G326" s="319">
        <v>44.5</v>
      </c>
      <c r="H326" s="317" t="s">
        <v>410</v>
      </c>
      <c r="I326" s="14" t="s">
        <v>383</v>
      </c>
      <c r="J326" s="21" t="s">
        <v>176</v>
      </c>
      <c r="K326" s="12" t="s">
        <v>14</v>
      </c>
      <c r="L326" s="319">
        <f t="shared" si="50"/>
        <v>44.5</v>
      </c>
      <c r="M326" s="22">
        <v>1</v>
      </c>
      <c r="N326" s="79">
        <f>IF(K326="NV","",IF(VLOOKUP(M326,'R_Häufigkeit_Faktoren UHR'!$B$4:$I$24,7,FALSE)=0,"",VLOOKUP(M326,'R_Häufigkeit_Faktoren UHR'!$B$4:$I$24,7,FALSE)))</f>
        <v>4.3452380952380958</v>
      </c>
      <c r="O326" s="3">
        <f t="shared" si="41"/>
        <v>193.36309523809527</v>
      </c>
      <c r="P326" s="325"/>
      <c r="Q326" s="156">
        <f>IF(N326="","",VLOOKUP(J326,Raumgruppen_Leistungswerte!$B$5:$F$35,5,FALSE))</f>
        <v>0</v>
      </c>
      <c r="R326" s="157" t="e">
        <f t="shared" si="42"/>
        <v>#DIV/0!</v>
      </c>
      <c r="S326" s="445" t="e">
        <f t="shared" si="43"/>
        <v>#DIV/0!</v>
      </c>
      <c r="T326" s="78" t="str">
        <f>IF(K326="NV","",IF(VLOOKUP(M326,'R_Häufigkeit_Faktoren UHR'!$B$4:$I$24,8,FALSE)=0,"",VLOOKUP(M326,'R_Häufigkeit_Faktoren UHR'!$B$4:$I$24,8,FALSE)))</f>
        <v/>
      </c>
      <c r="U326" s="156" t="str">
        <f t="shared" si="44"/>
        <v/>
      </c>
      <c r="V326" s="427"/>
      <c r="W326" s="12" t="str">
        <f>IF(T326="","",VLOOKUP(J326,Raumgruppen_Leistungswerte!$B$5:$F$35,5,FALSE))</f>
        <v/>
      </c>
      <c r="X326" s="156" t="str">
        <f t="shared" si="45"/>
        <v/>
      </c>
      <c r="Y326" s="446" t="str">
        <f t="shared" si="46"/>
        <v/>
      </c>
      <c r="Z326" s="158">
        <f t="shared" si="47"/>
        <v>193.36309523809527</v>
      </c>
      <c r="AA326" s="23" t="e">
        <f t="shared" si="48"/>
        <v>#DIV/0!</v>
      </c>
      <c r="AB326" s="445" t="e">
        <f t="shared" si="49"/>
        <v>#DIV/0!</v>
      </c>
      <c r="AC326" s="123"/>
    </row>
    <row r="327" spans="1:29" ht="12" customHeight="1">
      <c r="A327" s="11">
        <v>323</v>
      </c>
      <c r="B327" s="12" t="s">
        <v>495</v>
      </c>
      <c r="C327" s="17">
        <v>2</v>
      </c>
      <c r="D327" s="19" t="s">
        <v>272</v>
      </c>
      <c r="E327" s="17">
        <v>5</v>
      </c>
      <c r="F327" s="316" t="s">
        <v>526</v>
      </c>
      <c r="G327" s="319">
        <v>41.7</v>
      </c>
      <c r="H327" s="317" t="s">
        <v>365</v>
      </c>
      <c r="I327" s="20" t="s">
        <v>335</v>
      </c>
      <c r="J327" s="21" t="s">
        <v>240</v>
      </c>
      <c r="K327" s="12" t="s">
        <v>14</v>
      </c>
      <c r="L327" s="319">
        <f t="shared" si="50"/>
        <v>41.7</v>
      </c>
      <c r="M327" s="22">
        <v>3</v>
      </c>
      <c r="N327" s="79">
        <f>IF(K327="NV","",IF(VLOOKUP(M327,'R_Häufigkeit_Faktoren UHR'!$B$4:$I$24,7,FALSE)=0,"",VLOOKUP(M327,'R_Häufigkeit_Faktoren UHR'!$B$4:$I$24,7,FALSE)))</f>
        <v>13.035714285714286</v>
      </c>
      <c r="O327" s="3">
        <f t="shared" si="41"/>
        <v>543.58928571428578</v>
      </c>
      <c r="P327" s="325"/>
      <c r="Q327" s="156">
        <f>IF(N327="","",VLOOKUP(J327,Raumgruppen_Leistungswerte!$B$5:$F$35,5,FALSE))</f>
        <v>0</v>
      </c>
      <c r="R327" s="157" t="e">
        <f t="shared" si="42"/>
        <v>#DIV/0!</v>
      </c>
      <c r="S327" s="445" t="e">
        <f t="shared" si="43"/>
        <v>#DIV/0!</v>
      </c>
      <c r="T327" s="78" t="str">
        <f>IF(K327="NV","",IF(VLOOKUP(M327,'R_Häufigkeit_Faktoren UHR'!$B$4:$I$24,8,FALSE)=0,"",VLOOKUP(M327,'R_Häufigkeit_Faktoren UHR'!$B$4:$I$24,8,FALSE)))</f>
        <v/>
      </c>
      <c r="U327" s="156" t="str">
        <f t="shared" si="44"/>
        <v/>
      </c>
      <c r="V327" s="427"/>
      <c r="W327" s="12" t="str">
        <f>IF(T327="","",VLOOKUP(J327,Raumgruppen_Leistungswerte!$B$5:$F$35,5,FALSE))</f>
        <v/>
      </c>
      <c r="X327" s="156" t="str">
        <f t="shared" si="45"/>
        <v/>
      </c>
      <c r="Y327" s="446" t="str">
        <f t="shared" si="46"/>
        <v/>
      </c>
      <c r="Z327" s="158">
        <f t="shared" si="47"/>
        <v>543.58928571428578</v>
      </c>
      <c r="AA327" s="23" t="e">
        <f t="shared" si="48"/>
        <v>#DIV/0!</v>
      </c>
      <c r="AB327" s="445" t="e">
        <f t="shared" si="49"/>
        <v>#DIV/0!</v>
      </c>
      <c r="AC327" s="123"/>
    </row>
    <row r="328" spans="1:29" ht="12" customHeight="1">
      <c r="A328" s="11">
        <v>324</v>
      </c>
      <c r="B328" s="12" t="s">
        <v>495</v>
      </c>
      <c r="C328" s="17">
        <v>2</v>
      </c>
      <c r="D328" s="19" t="s">
        <v>369</v>
      </c>
      <c r="E328" s="17">
        <v>6</v>
      </c>
      <c r="F328" s="316" t="s">
        <v>549</v>
      </c>
      <c r="G328" s="319">
        <v>68.900000000000006</v>
      </c>
      <c r="H328" s="317" t="s">
        <v>320</v>
      </c>
      <c r="I328" s="20" t="s">
        <v>383</v>
      </c>
      <c r="J328" s="21" t="s">
        <v>238</v>
      </c>
      <c r="K328" s="12" t="s">
        <v>14</v>
      </c>
      <c r="L328" s="319">
        <f t="shared" si="50"/>
        <v>68.900000000000006</v>
      </c>
      <c r="M328" s="22">
        <v>5</v>
      </c>
      <c r="N328" s="79">
        <f>IF(K328="NV","",IF(VLOOKUP(M328,'R_Häufigkeit_Faktoren UHR'!$B$4:$I$24,7,FALSE)=0,"",VLOOKUP(M328,'R_Häufigkeit_Faktoren UHR'!$B$4:$I$24,7,FALSE)))</f>
        <v>20.917857142857144</v>
      </c>
      <c r="O328" s="3">
        <f t="shared" si="41"/>
        <v>1441.2403571428574</v>
      </c>
      <c r="P328" s="325"/>
      <c r="Q328" s="156">
        <f>IF(N328="","",VLOOKUP(J328,Raumgruppen_Leistungswerte!$B$5:$F$35,5,FALSE))</f>
        <v>0</v>
      </c>
      <c r="R328" s="157" t="e">
        <f t="shared" si="42"/>
        <v>#DIV/0!</v>
      </c>
      <c r="S328" s="445" t="e">
        <f t="shared" si="43"/>
        <v>#DIV/0!</v>
      </c>
      <c r="T328" s="78" t="str">
        <f>IF(K328="NV","",IF(VLOOKUP(M328,'R_Häufigkeit_Faktoren UHR'!$B$4:$I$24,8,FALSE)=0,"",VLOOKUP(M328,'R_Häufigkeit_Faktoren UHR'!$B$4:$I$24,8,FALSE)))</f>
        <v/>
      </c>
      <c r="U328" s="156" t="str">
        <f t="shared" si="44"/>
        <v/>
      </c>
      <c r="V328" s="427"/>
      <c r="W328" s="12" t="str">
        <f>IF(T328="","",VLOOKUP(J328,Raumgruppen_Leistungswerte!$B$5:$F$35,5,FALSE))</f>
        <v/>
      </c>
      <c r="X328" s="156" t="str">
        <f t="shared" si="45"/>
        <v/>
      </c>
      <c r="Y328" s="446" t="str">
        <f t="shared" si="46"/>
        <v/>
      </c>
      <c r="Z328" s="158">
        <f t="shared" si="47"/>
        <v>1441.2403571428574</v>
      </c>
      <c r="AA328" s="23" t="e">
        <f t="shared" si="48"/>
        <v>#DIV/0!</v>
      </c>
      <c r="AB328" s="445" t="e">
        <f t="shared" si="49"/>
        <v>#DIV/0!</v>
      </c>
      <c r="AC328" s="123"/>
    </row>
    <row r="329" spans="1:29" ht="12" customHeight="1">
      <c r="A329" s="11">
        <v>325</v>
      </c>
      <c r="B329" s="12" t="s">
        <v>495</v>
      </c>
      <c r="C329" s="17">
        <v>2</v>
      </c>
      <c r="D329" s="19" t="s">
        <v>372</v>
      </c>
      <c r="E329" s="17">
        <v>6</v>
      </c>
      <c r="F329" s="316" t="s">
        <v>592</v>
      </c>
      <c r="G329" s="319">
        <v>90.9</v>
      </c>
      <c r="H329" s="317" t="s">
        <v>587</v>
      </c>
      <c r="I329" s="20" t="s">
        <v>383</v>
      </c>
      <c r="J329" s="21" t="s">
        <v>219</v>
      </c>
      <c r="K329" s="12" t="s">
        <v>14</v>
      </c>
      <c r="L329" s="319">
        <f t="shared" si="50"/>
        <v>90.9</v>
      </c>
      <c r="M329" s="22">
        <v>5</v>
      </c>
      <c r="N329" s="79">
        <f>IF(K329="NV","",IF(VLOOKUP(M329,'R_Häufigkeit_Faktoren UHR'!$B$4:$I$24,7,FALSE)=0,"",VLOOKUP(M329,'R_Häufigkeit_Faktoren UHR'!$B$4:$I$24,7,FALSE)))</f>
        <v>20.917857142857144</v>
      </c>
      <c r="O329" s="3">
        <f t="shared" si="41"/>
        <v>1901.4332142857145</v>
      </c>
      <c r="P329" s="325"/>
      <c r="Q329" s="156">
        <f>IF(N329="","",VLOOKUP(J329,Raumgruppen_Leistungswerte!$B$5:$F$35,5,FALSE))</f>
        <v>0</v>
      </c>
      <c r="R329" s="157" t="e">
        <f t="shared" si="42"/>
        <v>#DIV/0!</v>
      </c>
      <c r="S329" s="445" t="e">
        <f t="shared" si="43"/>
        <v>#DIV/0!</v>
      </c>
      <c r="T329" s="78" t="str">
        <f>IF(K329="NV","",IF(VLOOKUP(M329,'R_Häufigkeit_Faktoren UHR'!$B$4:$I$24,8,FALSE)=0,"",VLOOKUP(M329,'R_Häufigkeit_Faktoren UHR'!$B$4:$I$24,8,FALSE)))</f>
        <v/>
      </c>
      <c r="U329" s="156" t="str">
        <f t="shared" si="44"/>
        <v/>
      </c>
      <c r="V329" s="427"/>
      <c r="W329" s="12" t="str">
        <f>IF(T329="","",VLOOKUP(J329,Raumgruppen_Leistungswerte!$B$5:$F$35,5,FALSE))</f>
        <v/>
      </c>
      <c r="X329" s="156" t="str">
        <f t="shared" si="45"/>
        <v/>
      </c>
      <c r="Y329" s="446" t="str">
        <f t="shared" si="46"/>
        <v/>
      </c>
      <c r="Z329" s="158">
        <f t="shared" si="47"/>
        <v>1901.4332142857145</v>
      </c>
      <c r="AA329" s="23" t="e">
        <f t="shared" si="48"/>
        <v>#DIV/0!</v>
      </c>
      <c r="AB329" s="445" t="e">
        <f t="shared" si="49"/>
        <v>#DIV/0!</v>
      </c>
      <c r="AC329" s="123"/>
    </row>
    <row r="330" spans="1:29" ht="12" customHeight="1">
      <c r="A330" s="11">
        <v>326</v>
      </c>
      <c r="B330" s="12" t="s">
        <v>495</v>
      </c>
      <c r="C330" s="17">
        <v>2</v>
      </c>
      <c r="D330" s="19" t="s">
        <v>372</v>
      </c>
      <c r="E330" s="17">
        <v>6</v>
      </c>
      <c r="F330" s="316" t="s">
        <v>562</v>
      </c>
      <c r="G330" s="319">
        <v>12.4</v>
      </c>
      <c r="H330" s="317" t="s">
        <v>322</v>
      </c>
      <c r="I330" s="20" t="s">
        <v>383</v>
      </c>
      <c r="J330" s="21" t="s">
        <v>121</v>
      </c>
      <c r="K330" s="12" t="s">
        <v>14</v>
      </c>
      <c r="L330" s="334">
        <f t="shared" si="50"/>
        <v>12.4</v>
      </c>
      <c r="M330" s="22">
        <v>1</v>
      </c>
      <c r="N330" s="79">
        <f>IF(K330="NV","",IF(VLOOKUP(M330,'R_Häufigkeit_Faktoren UHR'!$B$4:$I$24,7,FALSE)=0,"",VLOOKUP(M330,'R_Häufigkeit_Faktoren UHR'!$B$4:$I$24,7,FALSE)))</f>
        <v>4.3452380952380958</v>
      </c>
      <c r="O330" s="3">
        <f t="shared" si="41"/>
        <v>53.880952380952387</v>
      </c>
      <c r="P330" s="325"/>
      <c r="Q330" s="156">
        <f>IF(N330="","",VLOOKUP(J330,Raumgruppen_Leistungswerte!$B$5:$F$35,5,FALSE))</f>
        <v>0</v>
      </c>
      <c r="R330" s="157" t="e">
        <f t="shared" si="42"/>
        <v>#DIV/0!</v>
      </c>
      <c r="S330" s="445" t="e">
        <f t="shared" si="43"/>
        <v>#DIV/0!</v>
      </c>
      <c r="T330" s="78" t="str">
        <f>IF(K330="NV","",IF(VLOOKUP(M330,'R_Häufigkeit_Faktoren UHR'!$B$4:$I$24,8,FALSE)=0,"",VLOOKUP(M330,'R_Häufigkeit_Faktoren UHR'!$B$4:$I$24,8,FALSE)))</f>
        <v/>
      </c>
      <c r="U330" s="156" t="str">
        <f t="shared" si="44"/>
        <v/>
      </c>
      <c r="V330" s="427"/>
      <c r="W330" s="12" t="str">
        <f>IF(T330="","",VLOOKUP(J330,Raumgruppen_Leistungswerte!$B$5:$F$35,5,FALSE))</f>
        <v/>
      </c>
      <c r="X330" s="156" t="str">
        <f t="shared" si="45"/>
        <v/>
      </c>
      <c r="Y330" s="446" t="str">
        <f t="shared" si="46"/>
        <v/>
      </c>
      <c r="Z330" s="158">
        <f t="shared" si="47"/>
        <v>53.880952380952387</v>
      </c>
      <c r="AA330" s="23" t="e">
        <f t="shared" si="48"/>
        <v>#DIV/0!</v>
      </c>
      <c r="AB330" s="445" t="e">
        <f t="shared" si="49"/>
        <v>#DIV/0!</v>
      </c>
      <c r="AC330" s="123"/>
    </row>
    <row r="331" spans="1:29" ht="12" customHeight="1">
      <c r="A331" s="11">
        <v>327</v>
      </c>
      <c r="B331" s="12" t="s">
        <v>495</v>
      </c>
      <c r="C331" s="17">
        <v>2</v>
      </c>
      <c r="D331" s="19" t="s">
        <v>556</v>
      </c>
      <c r="E331" s="17">
        <v>6</v>
      </c>
      <c r="F331" s="316" t="s">
        <v>593</v>
      </c>
      <c r="G331" s="319">
        <v>60.6</v>
      </c>
      <c r="H331" s="317" t="s">
        <v>513</v>
      </c>
      <c r="I331" s="14" t="s">
        <v>383</v>
      </c>
      <c r="J331" s="21" t="s">
        <v>219</v>
      </c>
      <c r="K331" s="12" t="s">
        <v>14</v>
      </c>
      <c r="L331" s="319">
        <f t="shared" si="50"/>
        <v>60.6</v>
      </c>
      <c r="M331" s="22">
        <v>5</v>
      </c>
      <c r="N331" s="79">
        <f>IF(K331="NV","",IF(VLOOKUP(M331,'R_Häufigkeit_Faktoren UHR'!$B$4:$I$24,7,FALSE)=0,"",VLOOKUP(M331,'R_Häufigkeit_Faktoren UHR'!$B$4:$I$24,7,FALSE)))</f>
        <v>20.917857142857144</v>
      </c>
      <c r="O331" s="3">
        <f t="shared" si="41"/>
        <v>1267.622142857143</v>
      </c>
      <c r="P331" s="325"/>
      <c r="Q331" s="156">
        <f>IF(N331="","",VLOOKUP(J331,Raumgruppen_Leistungswerte!$B$5:$F$35,5,FALSE))</f>
        <v>0</v>
      </c>
      <c r="R331" s="157" t="e">
        <f t="shared" si="42"/>
        <v>#DIV/0!</v>
      </c>
      <c r="S331" s="445" t="e">
        <f t="shared" si="43"/>
        <v>#DIV/0!</v>
      </c>
      <c r="T331" s="78" t="str">
        <f>IF(K331="NV","",IF(VLOOKUP(M331,'R_Häufigkeit_Faktoren UHR'!$B$4:$I$24,8,FALSE)=0,"",VLOOKUP(M331,'R_Häufigkeit_Faktoren UHR'!$B$4:$I$24,8,FALSE)))</f>
        <v/>
      </c>
      <c r="U331" s="156" t="str">
        <f t="shared" si="44"/>
        <v/>
      </c>
      <c r="V331" s="427"/>
      <c r="W331" s="12" t="str">
        <f>IF(T331="","",VLOOKUP(J331,Raumgruppen_Leistungswerte!$B$5:$F$35,5,FALSE))</f>
        <v/>
      </c>
      <c r="X331" s="156" t="str">
        <f t="shared" si="45"/>
        <v/>
      </c>
      <c r="Y331" s="446" t="str">
        <f t="shared" si="46"/>
        <v/>
      </c>
      <c r="Z331" s="158">
        <f t="shared" si="47"/>
        <v>1267.622142857143</v>
      </c>
      <c r="AA331" s="23" t="e">
        <f t="shared" si="48"/>
        <v>#DIV/0!</v>
      </c>
      <c r="AB331" s="445" t="e">
        <f t="shared" si="49"/>
        <v>#DIV/0!</v>
      </c>
      <c r="AC331" s="123"/>
    </row>
    <row r="332" spans="1:29" ht="12" customHeight="1">
      <c r="A332" s="11">
        <v>328</v>
      </c>
      <c r="B332" s="12" t="s">
        <v>495</v>
      </c>
      <c r="C332" s="17">
        <v>2</v>
      </c>
      <c r="D332" s="19" t="s">
        <v>372</v>
      </c>
      <c r="E332" s="17">
        <v>6</v>
      </c>
      <c r="F332" s="316" t="s">
        <v>594</v>
      </c>
      <c r="G332" s="319">
        <v>56.6</v>
      </c>
      <c r="H332" s="317" t="s">
        <v>587</v>
      </c>
      <c r="I332" s="14" t="s">
        <v>383</v>
      </c>
      <c r="J332" s="21" t="s">
        <v>219</v>
      </c>
      <c r="K332" s="12" t="s">
        <v>14</v>
      </c>
      <c r="L332" s="319">
        <f t="shared" si="50"/>
        <v>56.6</v>
      </c>
      <c r="M332" s="22">
        <v>5</v>
      </c>
      <c r="N332" s="79">
        <f>IF(K332="NV","",IF(VLOOKUP(M332,'R_Häufigkeit_Faktoren UHR'!$B$4:$I$24,7,FALSE)=0,"",VLOOKUP(M332,'R_Häufigkeit_Faktoren UHR'!$B$4:$I$24,7,FALSE)))</f>
        <v>20.917857142857144</v>
      </c>
      <c r="O332" s="3">
        <f t="shared" si="41"/>
        <v>1183.9507142857144</v>
      </c>
      <c r="P332" s="325"/>
      <c r="Q332" s="156">
        <f>IF(N332="","",VLOOKUP(J332,Raumgruppen_Leistungswerte!$B$5:$F$35,5,FALSE))</f>
        <v>0</v>
      </c>
      <c r="R332" s="157" t="e">
        <f t="shared" si="42"/>
        <v>#DIV/0!</v>
      </c>
      <c r="S332" s="445" t="e">
        <f t="shared" si="43"/>
        <v>#DIV/0!</v>
      </c>
      <c r="T332" s="78" t="str">
        <f>IF(K332="NV","",IF(VLOOKUP(M332,'R_Häufigkeit_Faktoren UHR'!$B$4:$I$24,8,FALSE)=0,"",VLOOKUP(M332,'R_Häufigkeit_Faktoren UHR'!$B$4:$I$24,8,FALSE)))</f>
        <v/>
      </c>
      <c r="U332" s="156" t="str">
        <f t="shared" si="44"/>
        <v/>
      </c>
      <c r="V332" s="427"/>
      <c r="W332" s="12" t="str">
        <f>IF(T332="","",VLOOKUP(J332,Raumgruppen_Leistungswerte!$B$5:$F$35,5,FALSE))</f>
        <v/>
      </c>
      <c r="X332" s="156" t="str">
        <f t="shared" si="45"/>
        <v/>
      </c>
      <c r="Y332" s="446" t="str">
        <f t="shared" si="46"/>
        <v/>
      </c>
      <c r="Z332" s="158">
        <f t="shared" si="47"/>
        <v>1183.9507142857144</v>
      </c>
      <c r="AA332" s="23" t="e">
        <f t="shared" si="48"/>
        <v>#DIV/0!</v>
      </c>
      <c r="AB332" s="445" t="e">
        <f t="shared" si="49"/>
        <v>#DIV/0!</v>
      </c>
      <c r="AC332" s="123"/>
    </row>
    <row r="333" spans="1:29" ht="12" customHeight="1">
      <c r="A333" s="11">
        <v>329</v>
      </c>
      <c r="B333" s="12" t="s">
        <v>495</v>
      </c>
      <c r="C333" s="17">
        <v>2</v>
      </c>
      <c r="D333" s="19" t="s">
        <v>372</v>
      </c>
      <c r="E333" s="17">
        <v>6</v>
      </c>
      <c r="F333" s="316" t="s">
        <v>534</v>
      </c>
      <c r="G333" s="319">
        <v>6.1</v>
      </c>
      <c r="H333" s="317" t="s">
        <v>425</v>
      </c>
      <c r="I333" s="14" t="s">
        <v>406</v>
      </c>
      <c r="J333" s="21" t="s">
        <v>1</v>
      </c>
      <c r="K333" s="12" t="s">
        <v>14</v>
      </c>
      <c r="L333" s="319">
        <f t="shared" si="50"/>
        <v>6.1</v>
      </c>
      <c r="M333" s="22">
        <v>5</v>
      </c>
      <c r="N333" s="79">
        <f>IF(K333="NV","",IF(VLOOKUP(M333,'R_Häufigkeit_Faktoren UHR'!$B$4:$I$24,7,FALSE)=0,"",VLOOKUP(M333,'R_Häufigkeit_Faktoren UHR'!$B$4:$I$24,7,FALSE)))</f>
        <v>20.917857142857144</v>
      </c>
      <c r="O333" s="3">
        <f t="shared" si="41"/>
        <v>127.59892857142857</v>
      </c>
      <c r="P333" s="325"/>
      <c r="Q333" s="156">
        <f>IF(N333="","",VLOOKUP(J333,Raumgruppen_Leistungswerte!$B$5:$F$35,5,FALSE))</f>
        <v>0</v>
      </c>
      <c r="R333" s="157" t="e">
        <f t="shared" si="42"/>
        <v>#DIV/0!</v>
      </c>
      <c r="S333" s="445" t="e">
        <f t="shared" si="43"/>
        <v>#DIV/0!</v>
      </c>
      <c r="T333" s="78" t="str">
        <f>IF(K333="NV","",IF(VLOOKUP(M333,'R_Häufigkeit_Faktoren UHR'!$B$4:$I$24,8,FALSE)=0,"",VLOOKUP(M333,'R_Häufigkeit_Faktoren UHR'!$B$4:$I$24,8,FALSE)))</f>
        <v/>
      </c>
      <c r="U333" s="156" t="str">
        <f t="shared" si="44"/>
        <v/>
      </c>
      <c r="V333" s="427"/>
      <c r="W333" s="12" t="str">
        <f>IF(T333="","",VLOOKUP(J333,Raumgruppen_Leistungswerte!$B$5:$F$35,5,FALSE))</f>
        <v/>
      </c>
      <c r="X333" s="156" t="str">
        <f t="shared" si="45"/>
        <v/>
      </c>
      <c r="Y333" s="446" t="str">
        <f t="shared" si="46"/>
        <v/>
      </c>
      <c r="Z333" s="158">
        <f t="shared" si="47"/>
        <v>127.59892857142857</v>
      </c>
      <c r="AA333" s="23" t="e">
        <f t="shared" si="48"/>
        <v>#DIV/0!</v>
      </c>
      <c r="AB333" s="445" t="e">
        <f t="shared" si="49"/>
        <v>#DIV/0!</v>
      </c>
      <c r="AC333" s="123"/>
    </row>
    <row r="334" spans="1:29" ht="12" customHeight="1">
      <c r="A334" s="11">
        <v>330</v>
      </c>
      <c r="B334" s="12" t="s">
        <v>495</v>
      </c>
      <c r="C334" s="17">
        <v>2</v>
      </c>
      <c r="D334" s="19" t="s">
        <v>372</v>
      </c>
      <c r="E334" s="17">
        <v>6</v>
      </c>
      <c r="F334" s="316" t="s">
        <v>533</v>
      </c>
      <c r="G334" s="319">
        <v>13.8</v>
      </c>
      <c r="H334" s="317" t="s">
        <v>385</v>
      </c>
      <c r="I334" s="14" t="s">
        <v>406</v>
      </c>
      <c r="J334" s="21" t="s">
        <v>1</v>
      </c>
      <c r="K334" s="12" t="s">
        <v>14</v>
      </c>
      <c r="L334" s="319">
        <f t="shared" si="50"/>
        <v>13.8</v>
      </c>
      <c r="M334" s="22">
        <v>5</v>
      </c>
      <c r="N334" s="79">
        <f>IF(K334="NV","",IF(VLOOKUP(M334,'R_Häufigkeit_Faktoren UHR'!$B$4:$I$24,7,FALSE)=0,"",VLOOKUP(M334,'R_Häufigkeit_Faktoren UHR'!$B$4:$I$24,7,FALSE)))</f>
        <v>20.917857142857144</v>
      </c>
      <c r="O334" s="3">
        <f t="shared" si="41"/>
        <v>288.66642857142858</v>
      </c>
      <c r="P334" s="325"/>
      <c r="Q334" s="156">
        <f>IF(N334="","",VLOOKUP(J334,Raumgruppen_Leistungswerte!$B$5:$F$35,5,FALSE))</f>
        <v>0</v>
      </c>
      <c r="R334" s="157" t="e">
        <f t="shared" si="42"/>
        <v>#DIV/0!</v>
      </c>
      <c r="S334" s="445" t="e">
        <f t="shared" si="43"/>
        <v>#DIV/0!</v>
      </c>
      <c r="T334" s="78" t="str">
        <f>IF(K334="NV","",IF(VLOOKUP(M334,'R_Häufigkeit_Faktoren UHR'!$B$4:$I$24,8,FALSE)=0,"",VLOOKUP(M334,'R_Häufigkeit_Faktoren UHR'!$B$4:$I$24,8,FALSE)))</f>
        <v/>
      </c>
      <c r="U334" s="156" t="str">
        <f t="shared" si="44"/>
        <v/>
      </c>
      <c r="V334" s="427"/>
      <c r="W334" s="12" t="str">
        <f>IF(T334="","",VLOOKUP(J334,Raumgruppen_Leistungswerte!$B$5:$F$35,5,FALSE))</f>
        <v/>
      </c>
      <c r="X334" s="156" t="str">
        <f t="shared" si="45"/>
        <v/>
      </c>
      <c r="Y334" s="446" t="str">
        <f t="shared" si="46"/>
        <v/>
      </c>
      <c r="Z334" s="158">
        <f t="shared" si="47"/>
        <v>288.66642857142858</v>
      </c>
      <c r="AA334" s="23" t="e">
        <f t="shared" si="48"/>
        <v>#DIV/0!</v>
      </c>
      <c r="AB334" s="445" t="e">
        <f t="shared" si="49"/>
        <v>#DIV/0!</v>
      </c>
      <c r="AC334" s="123"/>
    </row>
    <row r="335" spans="1:29" ht="12" customHeight="1">
      <c r="A335" s="11">
        <v>331</v>
      </c>
      <c r="B335" s="12" t="s">
        <v>495</v>
      </c>
      <c r="C335" s="17">
        <v>2</v>
      </c>
      <c r="D335" s="19" t="s">
        <v>372</v>
      </c>
      <c r="E335" s="17">
        <v>6</v>
      </c>
      <c r="F335" s="316" t="s">
        <v>535</v>
      </c>
      <c r="G335" s="319">
        <v>18.100000000000001</v>
      </c>
      <c r="H335" s="317" t="s">
        <v>387</v>
      </c>
      <c r="I335" s="20" t="s">
        <v>406</v>
      </c>
      <c r="J335" s="21" t="s">
        <v>1</v>
      </c>
      <c r="K335" s="12" t="s">
        <v>14</v>
      </c>
      <c r="L335" s="319">
        <f t="shared" si="50"/>
        <v>18.100000000000001</v>
      </c>
      <c r="M335" s="22">
        <v>5</v>
      </c>
      <c r="N335" s="79">
        <f>IF(K335="NV","",IF(VLOOKUP(M335,'R_Häufigkeit_Faktoren UHR'!$B$4:$I$24,7,FALSE)=0,"",VLOOKUP(M335,'R_Häufigkeit_Faktoren UHR'!$B$4:$I$24,7,FALSE)))</f>
        <v>20.917857142857144</v>
      </c>
      <c r="O335" s="3">
        <f t="shared" si="41"/>
        <v>378.61321428571432</v>
      </c>
      <c r="P335" s="325"/>
      <c r="Q335" s="156">
        <f>IF(N335="","",VLOOKUP(J335,Raumgruppen_Leistungswerte!$B$5:$F$35,5,FALSE))</f>
        <v>0</v>
      </c>
      <c r="R335" s="157" t="e">
        <f t="shared" si="42"/>
        <v>#DIV/0!</v>
      </c>
      <c r="S335" s="445" t="e">
        <f t="shared" si="43"/>
        <v>#DIV/0!</v>
      </c>
      <c r="T335" s="78" t="str">
        <f>IF(K335="NV","",IF(VLOOKUP(M335,'R_Häufigkeit_Faktoren UHR'!$B$4:$I$24,8,FALSE)=0,"",VLOOKUP(M335,'R_Häufigkeit_Faktoren UHR'!$B$4:$I$24,8,FALSE)))</f>
        <v/>
      </c>
      <c r="U335" s="156" t="str">
        <f t="shared" si="44"/>
        <v/>
      </c>
      <c r="V335" s="427"/>
      <c r="W335" s="12" t="str">
        <f>IF(T335="","",VLOOKUP(J335,Raumgruppen_Leistungswerte!$B$5:$F$35,5,FALSE))</f>
        <v/>
      </c>
      <c r="X335" s="156" t="str">
        <f t="shared" si="45"/>
        <v/>
      </c>
      <c r="Y335" s="446" t="str">
        <f t="shared" si="46"/>
        <v/>
      </c>
      <c r="Z335" s="158">
        <f t="shared" si="47"/>
        <v>378.61321428571432</v>
      </c>
      <c r="AA335" s="23" t="e">
        <f t="shared" si="48"/>
        <v>#DIV/0!</v>
      </c>
      <c r="AB335" s="445" t="e">
        <f t="shared" si="49"/>
        <v>#DIV/0!</v>
      </c>
      <c r="AC335" s="123"/>
    </row>
    <row r="336" spans="1:29" ht="12" customHeight="1">
      <c r="A336" s="11">
        <v>332</v>
      </c>
      <c r="B336" s="12" t="s">
        <v>495</v>
      </c>
      <c r="C336" s="17">
        <v>2</v>
      </c>
      <c r="D336" s="19" t="s">
        <v>595</v>
      </c>
      <c r="E336" s="17">
        <v>6</v>
      </c>
      <c r="F336" s="316" t="s">
        <v>501</v>
      </c>
      <c r="G336" s="319">
        <v>2.5</v>
      </c>
      <c r="H336" s="317" t="s">
        <v>408</v>
      </c>
      <c r="I336" s="20" t="s">
        <v>383</v>
      </c>
      <c r="J336" s="21" t="s">
        <v>251</v>
      </c>
      <c r="K336" s="12" t="s">
        <v>14</v>
      </c>
      <c r="L336" s="334">
        <f t="shared" si="50"/>
        <v>2.5</v>
      </c>
      <c r="M336" s="22">
        <v>1</v>
      </c>
      <c r="N336" s="79">
        <f>IF(K336="NV","",IF(VLOOKUP(M336,'R_Häufigkeit_Faktoren UHR'!$B$4:$I$24,7,FALSE)=0,"",VLOOKUP(M336,'R_Häufigkeit_Faktoren UHR'!$B$4:$I$24,7,FALSE)))</f>
        <v>4.3452380952380958</v>
      </c>
      <c r="O336" s="3">
        <f t="shared" si="41"/>
        <v>10.863095238095239</v>
      </c>
      <c r="P336" s="325"/>
      <c r="Q336" s="156">
        <f>IF(N336="","",VLOOKUP(J336,Raumgruppen_Leistungswerte!$B$5:$F$35,5,FALSE))</f>
        <v>0</v>
      </c>
      <c r="R336" s="157" t="e">
        <f t="shared" si="42"/>
        <v>#DIV/0!</v>
      </c>
      <c r="S336" s="445" t="e">
        <f t="shared" si="43"/>
        <v>#DIV/0!</v>
      </c>
      <c r="T336" s="78" t="str">
        <f>IF(K336="NV","",IF(VLOOKUP(M336,'R_Häufigkeit_Faktoren UHR'!$B$4:$I$24,8,FALSE)=0,"",VLOOKUP(M336,'R_Häufigkeit_Faktoren UHR'!$B$4:$I$24,8,FALSE)))</f>
        <v/>
      </c>
      <c r="U336" s="156" t="str">
        <f t="shared" si="44"/>
        <v/>
      </c>
      <c r="V336" s="427"/>
      <c r="W336" s="12" t="str">
        <f>IF(T336="","",VLOOKUP(J336,Raumgruppen_Leistungswerte!$B$5:$F$35,5,FALSE))</f>
        <v/>
      </c>
      <c r="X336" s="156" t="str">
        <f t="shared" si="45"/>
        <v/>
      </c>
      <c r="Y336" s="446" t="str">
        <f t="shared" si="46"/>
        <v/>
      </c>
      <c r="Z336" s="158">
        <f t="shared" si="47"/>
        <v>10.863095238095239</v>
      </c>
      <c r="AA336" s="23" t="e">
        <f t="shared" si="48"/>
        <v>#DIV/0!</v>
      </c>
      <c r="AB336" s="445" t="e">
        <f t="shared" si="49"/>
        <v>#DIV/0!</v>
      </c>
      <c r="AC336" s="123"/>
    </row>
    <row r="337" spans="1:29" ht="12" customHeight="1">
      <c r="A337" s="11">
        <v>333</v>
      </c>
      <c r="B337" s="12" t="s">
        <v>495</v>
      </c>
      <c r="C337" s="17">
        <v>2</v>
      </c>
      <c r="D337" s="19" t="s">
        <v>372</v>
      </c>
      <c r="E337" s="17">
        <v>6</v>
      </c>
      <c r="F337" s="316" t="s">
        <v>596</v>
      </c>
      <c r="G337" s="319">
        <v>17.3</v>
      </c>
      <c r="H337" s="317" t="s">
        <v>381</v>
      </c>
      <c r="I337" s="20" t="s">
        <v>383</v>
      </c>
      <c r="J337" s="21" t="s">
        <v>245</v>
      </c>
      <c r="K337" s="12" t="s">
        <v>14</v>
      </c>
      <c r="L337" s="334">
        <f t="shared" si="50"/>
        <v>17.3</v>
      </c>
      <c r="M337" s="22">
        <v>5</v>
      </c>
      <c r="N337" s="79">
        <f>IF(K337="NV","",IF(VLOOKUP(M337,'R_Häufigkeit_Faktoren UHR'!$B$4:$I$24,7,FALSE)=0,"",VLOOKUP(M337,'R_Häufigkeit_Faktoren UHR'!$B$4:$I$24,7,FALSE)))</f>
        <v>20.917857142857144</v>
      </c>
      <c r="O337" s="3">
        <f t="shared" si="41"/>
        <v>361.87892857142862</v>
      </c>
      <c r="P337" s="325"/>
      <c r="Q337" s="156">
        <f>IF(N337="","",VLOOKUP(J337,Raumgruppen_Leistungswerte!$B$5:$F$35,5,FALSE))</f>
        <v>0</v>
      </c>
      <c r="R337" s="157" t="e">
        <f t="shared" si="42"/>
        <v>#DIV/0!</v>
      </c>
      <c r="S337" s="445" t="e">
        <f t="shared" si="43"/>
        <v>#DIV/0!</v>
      </c>
      <c r="T337" s="78" t="str">
        <f>IF(K337="NV","",IF(VLOOKUP(M337,'R_Häufigkeit_Faktoren UHR'!$B$4:$I$24,8,FALSE)=0,"",VLOOKUP(M337,'R_Häufigkeit_Faktoren UHR'!$B$4:$I$24,8,FALSE)))</f>
        <v/>
      </c>
      <c r="U337" s="156" t="str">
        <f t="shared" si="44"/>
        <v/>
      </c>
      <c r="V337" s="427"/>
      <c r="W337" s="12" t="str">
        <f>IF(T337="","",VLOOKUP(J337,Raumgruppen_Leistungswerte!$B$5:$F$35,5,FALSE))</f>
        <v/>
      </c>
      <c r="X337" s="156" t="str">
        <f t="shared" si="45"/>
        <v/>
      </c>
      <c r="Y337" s="446" t="str">
        <f t="shared" si="46"/>
        <v/>
      </c>
      <c r="Z337" s="158">
        <f t="shared" si="47"/>
        <v>361.87892857142862</v>
      </c>
      <c r="AA337" s="23" t="e">
        <f t="shared" si="48"/>
        <v>#DIV/0!</v>
      </c>
      <c r="AB337" s="445" t="e">
        <f t="shared" si="49"/>
        <v>#DIV/0!</v>
      </c>
      <c r="AC337" s="123"/>
    </row>
    <row r="338" spans="1:29" ht="12" customHeight="1">
      <c r="A338" s="11">
        <v>334</v>
      </c>
      <c r="B338" s="12" t="s">
        <v>495</v>
      </c>
      <c r="C338" s="17">
        <v>2</v>
      </c>
      <c r="D338" s="19" t="s">
        <v>556</v>
      </c>
      <c r="E338" s="17">
        <v>6</v>
      </c>
      <c r="F338" s="316" t="s">
        <v>597</v>
      </c>
      <c r="G338" s="319">
        <v>17.600000000000001</v>
      </c>
      <c r="H338" s="317" t="s">
        <v>537</v>
      </c>
      <c r="I338" s="20" t="s">
        <v>383</v>
      </c>
      <c r="J338" s="21" t="s">
        <v>219</v>
      </c>
      <c r="K338" s="12" t="s">
        <v>14</v>
      </c>
      <c r="L338" s="319">
        <f t="shared" si="50"/>
        <v>17.600000000000001</v>
      </c>
      <c r="M338" s="22">
        <v>5</v>
      </c>
      <c r="N338" s="79">
        <f>IF(K338="NV","",IF(VLOOKUP(M338,'R_Häufigkeit_Faktoren UHR'!$B$4:$I$24,7,FALSE)=0,"",VLOOKUP(M338,'R_Häufigkeit_Faktoren UHR'!$B$4:$I$24,7,FALSE)))</f>
        <v>20.917857142857144</v>
      </c>
      <c r="O338" s="3">
        <f t="shared" si="41"/>
        <v>368.15428571428578</v>
      </c>
      <c r="P338" s="325"/>
      <c r="Q338" s="156">
        <f>IF(N338="","",VLOOKUP(J338,Raumgruppen_Leistungswerte!$B$5:$F$35,5,FALSE))</f>
        <v>0</v>
      </c>
      <c r="R338" s="157" t="e">
        <f t="shared" si="42"/>
        <v>#DIV/0!</v>
      </c>
      <c r="S338" s="445" t="e">
        <f t="shared" si="43"/>
        <v>#DIV/0!</v>
      </c>
      <c r="T338" s="78" t="str">
        <f>IF(K338="NV","",IF(VLOOKUP(M338,'R_Häufigkeit_Faktoren UHR'!$B$4:$I$24,8,FALSE)=0,"",VLOOKUP(M338,'R_Häufigkeit_Faktoren UHR'!$B$4:$I$24,8,FALSE)))</f>
        <v/>
      </c>
      <c r="U338" s="156" t="str">
        <f t="shared" si="44"/>
        <v/>
      </c>
      <c r="V338" s="427"/>
      <c r="W338" s="12" t="str">
        <f>IF(T338="","",VLOOKUP(J338,Raumgruppen_Leistungswerte!$B$5:$F$35,5,FALSE))</f>
        <v/>
      </c>
      <c r="X338" s="156" t="str">
        <f t="shared" si="45"/>
        <v/>
      </c>
      <c r="Y338" s="446" t="str">
        <f t="shared" si="46"/>
        <v/>
      </c>
      <c r="Z338" s="158">
        <f t="shared" ref="Z338:Z353" si="51">IF(U338="",O338,O338+U338)</f>
        <v>368.15428571428578</v>
      </c>
      <c r="AA338" s="23" t="e">
        <f t="shared" ref="AA338:AA353" si="52">IF(X338="",R338,X338+R338)</f>
        <v>#DIV/0!</v>
      </c>
      <c r="AB338" s="445" t="e">
        <f t="shared" ref="AB338:AB353" si="53">IF(Y338="",S338,S338+Y338)</f>
        <v>#DIV/0!</v>
      </c>
      <c r="AC338" s="123"/>
    </row>
    <row r="339" spans="1:29" ht="12" customHeight="1">
      <c r="A339" s="11">
        <v>335</v>
      </c>
      <c r="B339" s="12" t="s">
        <v>495</v>
      </c>
      <c r="C339" s="17">
        <v>3</v>
      </c>
      <c r="D339" s="19" t="s">
        <v>556</v>
      </c>
      <c r="E339" s="17">
        <v>3</v>
      </c>
      <c r="F339" s="316" t="s">
        <v>426</v>
      </c>
      <c r="G339" s="319">
        <v>36.799999999999997</v>
      </c>
      <c r="H339" s="317" t="s">
        <v>320</v>
      </c>
      <c r="I339" s="20" t="s">
        <v>383</v>
      </c>
      <c r="J339" s="15" t="s">
        <v>238</v>
      </c>
      <c r="K339" s="12" t="s">
        <v>14</v>
      </c>
      <c r="L339" s="319">
        <f t="shared" si="50"/>
        <v>36.799999999999997</v>
      </c>
      <c r="M339" s="22">
        <v>5</v>
      </c>
      <c r="N339" s="79">
        <f>IF(K339="NV","",IF(VLOOKUP(M339,'R_Häufigkeit_Faktoren UHR'!$B$4:$I$24,7,FALSE)=0,"",VLOOKUP(M339,'R_Häufigkeit_Faktoren UHR'!$B$4:$I$24,7,FALSE)))</f>
        <v>20.917857142857144</v>
      </c>
      <c r="O339" s="3">
        <f t="shared" si="41"/>
        <v>769.77714285714285</v>
      </c>
      <c r="P339" s="325"/>
      <c r="Q339" s="156">
        <f>IF(N339="","",VLOOKUP(J339,Raumgruppen_Leistungswerte!$B$5:$F$35,5,FALSE))</f>
        <v>0</v>
      </c>
      <c r="R339" s="157" t="e">
        <f t="shared" si="42"/>
        <v>#DIV/0!</v>
      </c>
      <c r="S339" s="445" t="e">
        <f t="shared" si="43"/>
        <v>#DIV/0!</v>
      </c>
      <c r="T339" s="78" t="str">
        <f>IF(K339="NV","",IF(VLOOKUP(M339,'R_Häufigkeit_Faktoren UHR'!$B$4:$I$24,8,FALSE)=0,"",VLOOKUP(M339,'R_Häufigkeit_Faktoren UHR'!$B$4:$I$24,8,FALSE)))</f>
        <v/>
      </c>
      <c r="U339" s="156" t="str">
        <f t="shared" si="44"/>
        <v/>
      </c>
      <c r="V339" s="427"/>
      <c r="W339" s="12" t="str">
        <f>IF(T339="","",VLOOKUP(J339,Raumgruppen_Leistungswerte!$B$5:$F$35,5,FALSE))</f>
        <v/>
      </c>
      <c r="X339" s="156" t="str">
        <f t="shared" si="45"/>
        <v/>
      </c>
      <c r="Y339" s="446" t="str">
        <f t="shared" si="46"/>
        <v/>
      </c>
      <c r="Z339" s="158">
        <f t="shared" si="51"/>
        <v>769.77714285714285</v>
      </c>
      <c r="AA339" s="23" t="e">
        <f t="shared" si="52"/>
        <v>#DIV/0!</v>
      </c>
      <c r="AB339" s="445" t="e">
        <f t="shared" si="53"/>
        <v>#DIV/0!</v>
      </c>
      <c r="AC339" s="123"/>
    </row>
    <row r="340" spans="1:29" ht="12" customHeight="1">
      <c r="A340" s="11">
        <v>336</v>
      </c>
      <c r="B340" s="12" t="s">
        <v>495</v>
      </c>
      <c r="C340" s="17">
        <v>3</v>
      </c>
      <c r="D340" s="19" t="s">
        <v>575</v>
      </c>
      <c r="E340" s="17">
        <v>3</v>
      </c>
      <c r="F340" s="316" t="s">
        <v>598</v>
      </c>
      <c r="G340" s="319">
        <v>120</v>
      </c>
      <c r="H340" s="317" t="s">
        <v>410</v>
      </c>
      <c r="I340" s="20" t="s">
        <v>371</v>
      </c>
      <c r="J340" s="21" t="s">
        <v>176</v>
      </c>
      <c r="K340" s="12" t="s">
        <v>14</v>
      </c>
      <c r="L340" s="319">
        <f t="shared" si="50"/>
        <v>120</v>
      </c>
      <c r="M340" s="22">
        <v>3</v>
      </c>
      <c r="N340" s="79">
        <f>IF(K340="NV","",IF(VLOOKUP(M340,'R_Häufigkeit_Faktoren UHR'!$B$4:$I$24,7,FALSE)=0,"",VLOOKUP(M340,'R_Häufigkeit_Faktoren UHR'!$B$4:$I$24,7,FALSE)))</f>
        <v>13.035714285714286</v>
      </c>
      <c r="O340" s="3">
        <f t="shared" si="41"/>
        <v>1564.2857142857144</v>
      </c>
      <c r="P340" s="325"/>
      <c r="Q340" s="156">
        <f>IF(N340="","",VLOOKUP(J340,Raumgruppen_Leistungswerte!$B$5:$F$35,5,FALSE))</f>
        <v>0</v>
      </c>
      <c r="R340" s="157" t="e">
        <f t="shared" si="42"/>
        <v>#DIV/0!</v>
      </c>
      <c r="S340" s="445" t="e">
        <f t="shared" si="43"/>
        <v>#DIV/0!</v>
      </c>
      <c r="T340" s="78" t="str">
        <f>IF(K340="NV","",IF(VLOOKUP(M340,'R_Häufigkeit_Faktoren UHR'!$B$4:$I$24,8,FALSE)=0,"",VLOOKUP(M340,'R_Häufigkeit_Faktoren UHR'!$B$4:$I$24,8,FALSE)))</f>
        <v/>
      </c>
      <c r="U340" s="156" t="str">
        <f t="shared" si="44"/>
        <v/>
      </c>
      <c r="V340" s="427"/>
      <c r="W340" s="12" t="str">
        <f>IF(T340="","",VLOOKUP(J340,Raumgruppen_Leistungswerte!$B$5:$F$35,5,FALSE))</f>
        <v/>
      </c>
      <c r="X340" s="156" t="str">
        <f t="shared" si="45"/>
        <v/>
      </c>
      <c r="Y340" s="446" t="str">
        <f t="shared" si="46"/>
        <v/>
      </c>
      <c r="Z340" s="158">
        <f t="shared" si="51"/>
        <v>1564.2857142857144</v>
      </c>
      <c r="AA340" s="23" t="e">
        <f t="shared" si="52"/>
        <v>#DIV/0!</v>
      </c>
      <c r="AB340" s="445" t="e">
        <f t="shared" si="53"/>
        <v>#DIV/0!</v>
      </c>
      <c r="AC340" s="123"/>
    </row>
    <row r="341" spans="1:29" ht="12" customHeight="1">
      <c r="A341" s="11">
        <v>337</v>
      </c>
      <c r="B341" s="12" t="s">
        <v>495</v>
      </c>
      <c r="C341" s="17">
        <v>3</v>
      </c>
      <c r="D341" s="19" t="s">
        <v>575</v>
      </c>
      <c r="E341" s="17">
        <v>3</v>
      </c>
      <c r="F341" s="316" t="s">
        <v>499</v>
      </c>
      <c r="G341" s="319">
        <v>10.8</v>
      </c>
      <c r="H341" s="317" t="s">
        <v>385</v>
      </c>
      <c r="I341" s="20" t="s">
        <v>406</v>
      </c>
      <c r="J341" s="21" t="s">
        <v>1</v>
      </c>
      <c r="K341" s="12" t="s">
        <v>14</v>
      </c>
      <c r="L341" s="319">
        <f t="shared" si="50"/>
        <v>10.8</v>
      </c>
      <c r="M341" s="22">
        <v>5</v>
      </c>
      <c r="N341" s="79">
        <f>IF(K341="NV","",IF(VLOOKUP(M341,'R_Häufigkeit_Faktoren UHR'!$B$4:$I$24,7,FALSE)=0,"",VLOOKUP(M341,'R_Häufigkeit_Faktoren UHR'!$B$4:$I$24,7,FALSE)))</f>
        <v>20.917857142857144</v>
      </c>
      <c r="O341" s="3">
        <f t="shared" si="41"/>
        <v>225.91285714285718</v>
      </c>
      <c r="P341" s="325"/>
      <c r="Q341" s="156">
        <f>IF(N341="","",VLOOKUP(J341,Raumgruppen_Leistungswerte!$B$5:$F$35,5,FALSE))</f>
        <v>0</v>
      </c>
      <c r="R341" s="157" t="e">
        <f t="shared" si="42"/>
        <v>#DIV/0!</v>
      </c>
      <c r="S341" s="445" t="e">
        <f t="shared" si="43"/>
        <v>#DIV/0!</v>
      </c>
      <c r="T341" s="78" t="str">
        <f>IF(K341="NV","",IF(VLOOKUP(M341,'R_Häufigkeit_Faktoren UHR'!$B$4:$I$24,8,FALSE)=0,"",VLOOKUP(M341,'R_Häufigkeit_Faktoren UHR'!$B$4:$I$24,8,FALSE)))</f>
        <v/>
      </c>
      <c r="U341" s="156" t="str">
        <f t="shared" si="44"/>
        <v/>
      </c>
      <c r="V341" s="427"/>
      <c r="W341" s="12" t="str">
        <f>IF(T341="","",VLOOKUP(J341,Raumgruppen_Leistungswerte!$B$5:$F$35,5,FALSE))</f>
        <v/>
      </c>
      <c r="X341" s="156" t="str">
        <f t="shared" si="45"/>
        <v/>
      </c>
      <c r="Y341" s="446" t="str">
        <f t="shared" si="46"/>
        <v/>
      </c>
      <c r="Z341" s="158">
        <f t="shared" si="51"/>
        <v>225.91285714285718</v>
      </c>
      <c r="AA341" s="23" t="e">
        <f t="shared" si="52"/>
        <v>#DIV/0!</v>
      </c>
      <c r="AB341" s="445" t="e">
        <f t="shared" si="53"/>
        <v>#DIV/0!</v>
      </c>
      <c r="AC341" s="123"/>
    </row>
    <row r="342" spans="1:29" ht="12" customHeight="1">
      <c r="A342" s="11">
        <v>338</v>
      </c>
      <c r="B342" s="12" t="s">
        <v>495</v>
      </c>
      <c r="C342" s="17">
        <v>3</v>
      </c>
      <c r="D342" s="19" t="s">
        <v>575</v>
      </c>
      <c r="E342" s="17">
        <v>3</v>
      </c>
      <c r="F342" s="316" t="s">
        <v>500</v>
      </c>
      <c r="G342" s="319">
        <v>10.6</v>
      </c>
      <c r="H342" s="317" t="s">
        <v>387</v>
      </c>
      <c r="I342" s="20" t="s">
        <v>406</v>
      </c>
      <c r="J342" s="21" t="s">
        <v>1</v>
      </c>
      <c r="K342" s="12" t="s">
        <v>14</v>
      </c>
      <c r="L342" s="319">
        <f t="shared" si="50"/>
        <v>10.6</v>
      </c>
      <c r="M342" s="22">
        <v>5</v>
      </c>
      <c r="N342" s="79">
        <f>IF(K342="NV","",IF(VLOOKUP(M342,'R_Häufigkeit_Faktoren UHR'!$B$4:$I$24,7,FALSE)=0,"",VLOOKUP(M342,'R_Häufigkeit_Faktoren UHR'!$B$4:$I$24,7,FALSE)))</f>
        <v>20.917857142857144</v>
      </c>
      <c r="O342" s="3">
        <f t="shared" si="41"/>
        <v>221.72928571428574</v>
      </c>
      <c r="P342" s="325"/>
      <c r="Q342" s="156">
        <f>IF(N342="","",VLOOKUP(J342,Raumgruppen_Leistungswerte!$B$5:$F$35,5,FALSE))</f>
        <v>0</v>
      </c>
      <c r="R342" s="157" t="e">
        <f t="shared" si="42"/>
        <v>#DIV/0!</v>
      </c>
      <c r="S342" s="445" t="e">
        <f t="shared" si="43"/>
        <v>#DIV/0!</v>
      </c>
      <c r="T342" s="78" t="str">
        <f>IF(K342="NV","",IF(VLOOKUP(M342,'R_Häufigkeit_Faktoren UHR'!$B$4:$I$24,8,FALSE)=0,"",VLOOKUP(M342,'R_Häufigkeit_Faktoren UHR'!$B$4:$I$24,8,FALSE)))</f>
        <v/>
      </c>
      <c r="U342" s="156" t="str">
        <f t="shared" si="44"/>
        <v/>
      </c>
      <c r="V342" s="427"/>
      <c r="W342" s="12" t="str">
        <f>IF(T342="","",VLOOKUP(J342,Raumgruppen_Leistungswerte!$B$5:$F$35,5,FALSE))</f>
        <v/>
      </c>
      <c r="X342" s="156" t="str">
        <f t="shared" si="45"/>
        <v/>
      </c>
      <c r="Y342" s="446" t="str">
        <f t="shared" si="46"/>
        <v/>
      </c>
      <c r="Z342" s="158">
        <f t="shared" si="51"/>
        <v>221.72928571428574</v>
      </c>
      <c r="AA342" s="23" t="e">
        <f t="shared" si="52"/>
        <v>#DIV/0!</v>
      </c>
      <c r="AB342" s="445" t="e">
        <f t="shared" si="53"/>
        <v>#DIV/0!</v>
      </c>
      <c r="AC342" s="123"/>
    </row>
    <row r="343" spans="1:29" ht="12" customHeight="1">
      <c r="A343" s="11">
        <v>339</v>
      </c>
      <c r="B343" s="12" t="s">
        <v>495</v>
      </c>
      <c r="C343" s="17">
        <v>3</v>
      </c>
      <c r="D343" s="19" t="s">
        <v>575</v>
      </c>
      <c r="E343" s="17">
        <v>3</v>
      </c>
      <c r="F343" s="316" t="s">
        <v>599</v>
      </c>
      <c r="G343" s="319">
        <v>17.3</v>
      </c>
      <c r="H343" s="317" t="s">
        <v>410</v>
      </c>
      <c r="I343" s="14" t="s">
        <v>371</v>
      </c>
      <c r="J343" s="21" t="s">
        <v>176</v>
      </c>
      <c r="K343" s="12" t="s">
        <v>14</v>
      </c>
      <c r="L343" s="319">
        <f t="shared" si="50"/>
        <v>17.3</v>
      </c>
      <c r="M343" s="22">
        <v>1</v>
      </c>
      <c r="N343" s="78">
        <f>IF(K343="NV","",IF(VLOOKUP(M343,'R_Häufigkeit_Faktoren UHR'!$B$4:$I$24,7,FALSE)=0,"",VLOOKUP(M343,'R_Häufigkeit_Faktoren UHR'!$B$4:$I$24,7,FALSE)))</f>
        <v>4.3452380952380958</v>
      </c>
      <c r="O343" s="3">
        <f t="shared" si="41"/>
        <v>75.172619047619065</v>
      </c>
      <c r="P343" s="325"/>
      <c r="Q343" s="156">
        <f>IF(N343="","",VLOOKUP(J343,Raumgruppen_Leistungswerte!$B$5:$F$35,5,FALSE))</f>
        <v>0</v>
      </c>
      <c r="R343" s="157" t="e">
        <f t="shared" si="42"/>
        <v>#DIV/0!</v>
      </c>
      <c r="S343" s="445" t="e">
        <f t="shared" si="43"/>
        <v>#DIV/0!</v>
      </c>
      <c r="T343" s="78" t="str">
        <f>IF(K343="NV","",IF(VLOOKUP(M343,'R_Häufigkeit_Faktoren UHR'!$B$4:$I$24,8,FALSE)=0,"",VLOOKUP(M343,'R_Häufigkeit_Faktoren UHR'!$B$4:$I$24,8,FALSE)))</f>
        <v/>
      </c>
      <c r="U343" s="156" t="str">
        <f t="shared" si="44"/>
        <v/>
      </c>
      <c r="V343" s="427"/>
      <c r="W343" s="12" t="str">
        <f>IF(T343="","",VLOOKUP(J343,Raumgruppen_Leistungswerte!$B$5:$F$35,5,FALSE))</f>
        <v/>
      </c>
      <c r="X343" s="156" t="str">
        <f t="shared" si="45"/>
        <v/>
      </c>
      <c r="Y343" s="446" t="str">
        <f t="shared" si="46"/>
        <v/>
      </c>
      <c r="Z343" s="158">
        <f t="shared" si="51"/>
        <v>75.172619047619065</v>
      </c>
      <c r="AA343" s="23" t="e">
        <f t="shared" si="52"/>
        <v>#DIV/0!</v>
      </c>
      <c r="AB343" s="445" t="e">
        <f t="shared" si="53"/>
        <v>#DIV/0!</v>
      </c>
      <c r="AC343" s="123"/>
    </row>
    <row r="344" spans="1:29" ht="12" customHeight="1">
      <c r="A344" s="11">
        <v>340</v>
      </c>
      <c r="B344" s="12" t="s">
        <v>495</v>
      </c>
      <c r="C344" s="17">
        <v>3</v>
      </c>
      <c r="D344" s="19" t="s">
        <v>575</v>
      </c>
      <c r="E344" s="17">
        <v>3</v>
      </c>
      <c r="F344" s="316" t="s">
        <v>600</v>
      </c>
      <c r="G344" s="319">
        <v>12.9</v>
      </c>
      <c r="H344" s="317" t="s">
        <v>410</v>
      </c>
      <c r="I344" s="14" t="s">
        <v>371</v>
      </c>
      <c r="J344" s="21" t="s">
        <v>176</v>
      </c>
      <c r="K344" s="12" t="s">
        <v>14</v>
      </c>
      <c r="L344" s="319">
        <f t="shared" si="50"/>
        <v>12.9</v>
      </c>
      <c r="M344" s="22">
        <v>1</v>
      </c>
      <c r="N344" s="78">
        <f>IF(K344="NV","",IF(VLOOKUP(M344,'R_Häufigkeit_Faktoren UHR'!$B$4:$I$24,7,FALSE)=0,"",VLOOKUP(M344,'R_Häufigkeit_Faktoren UHR'!$B$4:$I$24,7,FALSE)))</f>
        <v>4.3452380952380958</v>
      </c>
      <c r="O344" s="3">
        <f t="shared" si="41"/>
        <v>56.053571428571438</v>
      </c>
      <c r="P344" s="325"/>
      <c r="Q344" s="156">
        <f>IF(N344="","",VLOOKUP(J344,Raumgruppen_Leistungswerte!$B$5:$F$35,5,FALSE))</f>
        <v>0</v>
      </c>
      <c r="R344" s="157" t="e">
        <f t="shared" si="42"/>
        <v>#DIV/0!</v>
      </c>
      <c r="S344" s="445" t="e">
        <f t="shared" si="43"/>
        <v>#DIV/0!</v>
      </c>
      <c r="T344" s="78" t="str">
        <f>IF(K344="NV","",IF(VLOOKUP(M344,'R_Häufigkeit_Faktoren UHR'!$B$4:$I$24,8,FALSE)=0,"",VLOOKUP(M344,'R_Häufigkeit_Faktoren UHR'!$B$4:$I$24,8,FALSE)))</f>
        <v/>
      </c>
      <c r="U344" s="156" t="str">
        <f t="shared" si="44"/>
        <v/>
      </c>
      <c r="V344" s="427"/>
      <c r="W344" s="12" t="str">
        <f>IF(T344="","",VLOOKUP(J344,Raumgruppen_Leistungswerte!$B$5:$F$35,5,FALSE))</f>
        <v/>
      </c>
      <c r="X344" s="156" t="str">
        <f t="shared" si="45"/>
        <v/>
      </c>
      <c r="Y344" s="446" t="str">
        <f t="shared" si="46"/>
        <v/>
      </c>
      <c r="Z344" s="158">
        <f t="shared" si="51"/>
        <v>56.053571428571438</v>
      </c>
      <c r="AA344" s="23" t="e">
        <f t="shared" si="52"/>
        <v>#DIV/0!</v>
      </c>
      <c r="AB344" s="445" t="e">
        <f t="shared" si="53"/>
        <v>#DIV/0!</v>
      </c>
      <c r="AC344" s="123"/>
    </row>
    <row r="345" spans="1:29" ht="12" customHeight="1">
      <c r="A345" s="11">
        <v>341</v>
      </c>
      <c r="B345" s="12" t="s">
        <v>495</v>
      </c>
      <c r="C345" s="17">
        <v>3</v>
      </c>
      <c r="D345" s="19" t="s">
        <v>575</v>
      </c>
      <c r="E345" s="17">
        <v>3</v>
      </c>
      <c r="F345" s="316" t="s">
        <v>601</v>
      </c>
      <c r="G345" s="319">
        <v>12.9</v>
      </c>
      <c r="H345" s="317" t="s">
        <v>410</v>
      </c>
      <c r="I345" s="14" t="s">
        <v>371</v>
      </c>
      <c r="J345" s="21" t="s">
        <v>176</v>
      </c>
      <c r="K345" s="12" t="s">
        <v>14</v>
      </c>
      <c r="L345" s="319">
        <f t="shared" si="50"/>
        <v>12.9</v>
      </c>
      <c r="M345" s="22">
        <v>1</v>
      </c>
      <c r="N345" s="78">
        <f>IF(K345="NV","",IF(VLOOKUP(M345,'R_Häufigkeit_Faktoren UHR'!$B$4:$I$24,7,FALSE)=0,"",VLOOKUP(M345,'R_Häufigkeit_Faktoren UHR'!$B$4:$I$24,7,FALSE)))</f>
        <v>4.3452380952380958</v>
      </c>
      <c r="O345" s="3">
        <f t="shared" si="41"/>
        <v>56.053571428571438</v>
      </c>
      <c r="P345" s="325"/>
      <c r="Q345" s="156">
        <f>IF(N345="","",VLOOKUP(J345,Raumgruppen_Leistungswerte!$B$5:$F$35,5,FALSE))</f>
        <v>0</v>
      </c>
      <c r="R345" s="157" t="e">
        <f t="shared" si="42"/>
        <v>#DIV/0!</v>
      </c>
      <c r="S345" s="445" t="e">
        <f t="shared" si="43"/>
        <v>#DIV/0!</v>
      </c>
      <c r="T345" s="78" t="str">
        <f>IF(K345="NV","",IF(VLOOKUP(M345,'R_Häufigkeit_Faktoren UHR'!$B$4:$I$24,8,FALSE)=0,"",VLOOKUP(M345,'R_Häufigkeit_Faktoren UHR'!$B$4:$I$24,8,FALSE)))</f>
        <v/>
      </c>
      <c r="U345" s="156" t="str">
        <f t="shared" si="44"/>
        <v/>
      </c>
      <c r="V345" s="427"/>
      <c r="W345" s="12" t="str">
        <f>IF(T345="","",VLOOKUP(J345,Raumgruppen_Leistungswerte!$B$5:$F$35,5,FALSE))</f>
        <v/>
      </c>
      <c r="X345" s="156" t="str">
        <f t="shared" si="45"/>
        <v/>
      </c>
      <c r="Y345" s="446" t="str">
        <f t="shared" si="46"/>
        <v/>
      </c>
      <c r="Z345" s="158">
        <f t="shared" si="51"/>
        <v>56.053571428571438</v>
      </c>
      <c r="AA345" s="23" t="e">
        <f t="shared" si="52"/>
        <v>#DIV/0!</v>
      </c>
      <c r="AB345" s="445" t="e">
        <f t="shared" si="53"/>
        <v>#DIV/0!</v>
      </c>
      <c r="AC345" s="123"/>
    </row>
    <row r="346" spans="1:29" ht="12" customHeight="1">
      <c r="A346" s="11">
        <v>342</v>
      </c>
      <c r="B346" s="12" t="s">
        <v>495</v>
      </c>
      <c r="C346" s="17">
        <v>3</v>
      </c>
      <c r="D346" s="19" t="s">
        <v>575</v>
      </c>
      <c r="E346" s="17">
        <v>3</v>
      </c>
      <c r="F346" s="316" t="s">
        <v>602</v>
      </c>
      <c r="G346" s="319">
        <v>19.3</v>
      </c>
      <c r="H346" s="317" t="s">
        <v>410</v>
      </c>
      <c r="I346" s="20" t="s">
        <v>371</v>
      </c>
      <c r="J346" s="21" t="s">
        <v>176</v>
      </c>
      <c r="K346" s="12" t="s">
        <v>14</v>
      </c>
      <c r="L346" s="319">
        <f t="shared" si="50"/>
        <v>19.3</v>
      </c>
      <c r="M346" s="22">
        <v>1</v>
      </c>
      <c r="N346" s="78">
        <f>IF(K346="NV","",IF(VLOOKUP(M346,'R_Häufigkeit_Faktoren UHR'!$B$4:$I$24,7,FALSE)=0,"",VLOOKUP(M346,'R_Häufigkeit_Faktoren UHR'!$B$4:$I$24,7,FALSE)))</f>
        <v>4.3452380952380958</v>
      </c>
      <c r="O346" s="3">
        <f t="shared" si="41"/>
        <v>83.863095238095255</v>
      </c>
      <c r="P346" s="325"/>
      <c r="Q346" s="156">
        <f>IF(N346="","",VLOOKUP(J346,Raumgruppen_Leistungswerte!$B$5:$F$35,5,FALSE))</f>
        <v>0</v>
      </c>
      <c r="R346" s="157" t="e">
        <f t="shared" si="42"/>
        <v>#DIV/0!</v>
      </c>
      <c r="S346" s="445" t="e">
        <f t="shared" si="43"/>
        <v>#DIV/0!</v>
      </c>
      <c r="T346" s="78" t="str">
        <f>IF(K346="NV","",IF(VLOOKUP(M346,'R_Häufigkeit_Faktoren UHR'!$B$4:$I$24,8,FALSE)=0,"",VLOOKUP(M346,'R_Häufigkeit_Faktoren UHR'!$B$4:$I$24,8,FALSE)))</f>
        <v/>
      </c>
      <c r="U346" s="156" t="str">
        <f t="shared" si="44"/>
        <v/>
      </c>
      <c r="V346" s="427"/>
      <c r="W346" s="12" t="str">
        <f>IF(T346="","",VLOOKUP(J346,Raumgruppen_Leistungswerte!$B$5:$F$35,5,FALSE))</f>
        <v/>
      </c>
      <c r="X346" s="156" t="str">
        <f t="shared" si="45"/>
        <v/>
      </c>
      <c r="Y346" s="446" t="str">
        <f t="shared" si="46"/>
        <v/>
      </c>
      <c r="Z346" s="158">
        <f t="shared" si="51"/>
        <v>83.863095238095255</v>
      </c>
      <c r="AA346" s="23" t="e">
        <f t="shared" si="52"/>
        <v>#DIV/0!</v>
      </c>
      <c r="AB346" s="445" t="e">
        <f t="shared" si="53"/>
        <v>#DIV/0!</v>
      </c>
      <c r="AC346" s="123"/>
    </row>
    <row r="347" spans="1:29" ht="12" customHeight="1">
      <c r="A347" s="11">
        <v>343</v>
      </c>
      <c r="B347" s="12" t="s">
        <v>495</v>
      </c>
      <c r="C347" s="17">
        <v>3</v>
      </c>
      <c r="D347" s="19" t="s">
        <v>603</v>
      </c>
      <c r="E347" s="17">
        <v>3</v>
      </c>
      <c r="F347" s="316" t="s">
        <v>604</v>
      </c>
      <c r="G347" s="319">
        <v>21</v>
      </c>
      <c r="H347" s="317" t="s">
        <v>410</v>
      </c>
      <c r="I347" s="20" t="s">
        <v>371</v>
      </c>
      <c r="J347" s="21" t="s">
        <v>176</v>
      </c>
      <c r="K347" s="12" t="s">
        <v>14</v>
      </c>
      <c r="L347" s="319">
        <f t="shared" si="50"/>
        <v>21</v>
      </c>
      <c r="M347" s="22">
        <v>1</v>
      </c>
      <c r="N347" s="78">
        <f>IF(K347="NV","",IF(VLOOKUP(M347,'R_Häufigkeit_Faktoren UHR'!$B$4:$I$24,7,FALSE)=0,"",VLOOKUP(M347,'R_Häufigkeit_Faktoren UHR'!$B$4:$I$24,7,FALSE)))</f>
        <v>4.3452380952380958</v>
      </c>
      <c r="O347" s="3">
        <f t="shared" si="41"/>
        <v>91.250000000000014</v>
      </c>
      <c r="P347" s="325"/>
      <c r="Q347" s="156">
        <f>IF(N347="","",VLOOKUP(J347,Raumgruppen_Leistungswerte!$B$5:$F$35,5,FALSE))</f>
        <v>0</v>
      </c>
      <c r="R347" s="157" t="e">
        <f t="shared" si="42"/>
        <v>#DIV/0!</v>
      </c>
      <c r="S347" s="445" t="e">
        <f t="shared" si="43"/>
        <v>#DIV/0!</v>
      </c>
      <c r="T347" s="78" t="str">
        <f>IF(K347="NV","",IF(VLOOKUP(M347,'R_Häufigkeit_Faktoren UHR'!$B$4:$I$24,8,FALSE)=0,"",VLOOKUP(M347,'R_Häufigkeit_Faktoren UHR'!$B$4:$I$24,8,FALSE)))</f>
        <v/>
      </c>
      <c r="U347" s="156" t="str">
        <f t="shared" si="44"/>
        <v/>
      </c>
      <c r="V347" s="427"/>
      <c r="W347" s="12" t="str">
        <f>IF(T347="","",VLOOKUP(J347,Raumgruppen_Leistungswerte!$B$5:$F$35,5,FALSE))</f>
        <v/>
      </c>
      <c r="X347" s="156" t="str">
        <f t="shared" si="45"/>
        <v/>
      </c>
      <c r="Y347" s="446" t="str">
        <f t="shared" si="46"/>
        <v/>
      </c>
      <c r="Z347" s="158">
        <f t="shared" si="51"/>
        <v>91.250000000000014</v>
      </c>
      <c r="AA347" s="23" t="e">
        <f t="shared" si="52"/>
        <v>#DIV/0!</v>
      </c>
      <c r="AB347" s="445" t="e">
        <f t="shared" si="53"/>
        <v>#DIV/0!</v>
      </c>
      <c r="AC347" s="123"/>
    </row>
    <row r="348" spans="1:29" ht="12" customHeight="1">
      <c r="A348" s="11">
        <v>344</v>
      </c>
      <c r="B348" s="12" t="s">
        <v>495</v>
      </c>
      <c r="C348" s="17">
        <v>3</v>
      </c>
      <c r="D348" s="19" t="s">
        <v>603</v>
      </c>
      <c r="E348" s="17">
        <v>3</v>
      </c>
      <c r="F348" s="316" t="s">
        <v>605</v>
      </c>
      <c r="G348" s="319">
        <v>20.6</v>
      </c>
      <c r="H348" s="317" t="s">
        <v>436</v>
      </c>
      <c r="I348" s="14" t="s">
        <v>371</v>
      </c>
      <c r="J348" s="21" t="s">
        <v>219</v>
      </c>
      <c r="K348" s="12" t="s">
        <v>14</v>
      </c>
      <c r="L348" s="319">
        <f t="shared" si="50"/>
        <v>20.6</v>
      </c>
      <c r="M348" s="22">
        <v>3</v>
      </c>
      <c r="N348" s="78">
        <f>IF(K348="NV","",IF(VLOOKUP(M348,'R_Häufigkeit_Faktoren UHR'!$B$4:$I$24,7,FALSE)=0,"",VLOOKUP(M348,'R_Häufigkeit_Faktoren UHR'!$B$4:$I$24,7,FALSE)))</f>
        <v>13.035714285714286</v>
      </c>
      <c r="O348" s="3">
        <f t="shared" si="41"/>
        <v>268.53571428571433</v>
      </c>
      <c r="P348" s="325"/>
      <c r="Q348" s="156">
        <f>IF(N348="","",VLOOKUP(J348,Raumgruppen_Leistungswerte!$B$5:$F$35,5,FALSE))</f>
        <v>0</v>
      </c>
      <c r="R348" s="157" t="e">
        <f t="shared" si="42"/>
        <v>#DIV/0!</v>
      </c>
      <c r="S348" s="445" t="e">
        <f t="shared" si="43"/>
        <v>#DIV/0!</v>
      </c>
      <c r="T348" s="78" t="str">
        <f>IF(K348="NV","",IF(VLOOKUP(M348,'R_Häufigkeit_Faktoren UHR'!$B$4:$I$24,8,FALSE)=0,"",VLOOKUP(M348,'R_Häufigkeit_Faktoren UHR'!$B$4:$I$24,8,FALSE)))</f>
        <v/>
      </c>
      <c r="U348" s="156" t="str">
        <f t="shared" si="44"/>
        <v/>
      </c>
      <c r="V348" s="427"/>
      <c r="W348" s="12" t="str">
        <f>IF(T348="","",VLOOKUP(J348,Raumgruppen_Leistungswerte!$B$5:$F$35,5,FALSE))</f>
        <v/>
      </c>
      <c r="X348" s="156" t="str">
        <f t="shared" si="45"/>
        <v/>
      </c>
      <c r="Y348" s="446" t="str">
        <f t="shared" si="46"/>
        <v/>
      </c>
      <c r="Z348" s="158">
        <f t="shared" si="51"/>
        <v>268.53571428571433</v>
      </c>
      <c r="AA348" s="23" t="e">
        <f t="shared" si="52"/>
        <v>#DIV/0!</v>
      </c>
      <c r="AB348" s="445" t="e">
        <f t="shared" si="53"/>
        <v>#DIV/0!</v>
      </c>
      <c r="AC348" s="123"/>
    </row>
    <row r="349" spans="1:29" ht="12" customHeight="1">
      <c r="A349" s="11">
        <v>345</v>
      </c>
      <c r="B349" s="12" t="s">
        <v>495</v>
      </c>
      <c r="C349" s="17">
        <v>3</v>
      </c>
      <c r="D349" s="19" t="s">
        <v>603</v>
      </c>
      <c r="E349" s="17">
        <v>3</v>
      </c>
      <c r="F349" s="316" t="s">
        <v>606</v>
      </c>
      <c r="G349" s="319">
        <v>14.3</v>
      </c>
      <c r="H349" s="317" t="s">
        <v>410</v>
      </c>
      <c r="I349" s="14" t="s">
        <v>371</v>
      </c>
      <c r="J349" s="21" t="s">
        <v>176</v>
      </c>
      <c r="K349" s="12" t="s">
        <v>14</v>
      </c>
      <c r="L349" s="319">
        <f t="shared" si="50"/>
        <v>14.3</v>
      </c>
      <c r="M349" s="22">
        <v>1</v>
      </c>
      <c r="N349" s="78">
        <f>IF(K349="NV","",IF(VLOOKUP(M349,'R_Häufigkeit_Faktoren UHR'!$B$4:$I$24,7,FALSE)=0,"",VLOOKUP(M349,'R_Häufigkeit_Faktoren UHR'!$B$4:$I$24,7,FALSE)))</f>
        <v>4.3452380952380958</v>
      </c>
      <c r="O349" s="3">
        <f t="shared" si="41"/>
        <v>62.136904761904773</v>
      </c>
      <c r="P349" s="325"/>
      <c r="Q349" s="156">
        <f>IF(N349="","",VLOOKUP(J349,Raumgruppen_Leistungswerte!$B$5:$F$35,5,FALSE))</f>
        <v>0</v>
      </c>
      <c r="R349" s="157" t="e">
        <f t="shared" si="42"/>
        <v>#DIV/0!</v>
      </c>
      <c r="S349" s="445" t="e">
        <f t="shared" si="43"/>
        <v>#DIV/0!</v>
      </c>
      <c r="T349" s="78" t="str">
        <f>IF(K349="NV","",IF(VLOOKUP(M349,'R_Häufigkeit_Faktoren UHR'!$B$4:$I$24,8,FALSE)=0,"",VLOOKUP(M349,'R_Häufigkeit_Faktoren UHR'!$B$4:$I$24,8,FALSE)))</f>
        <v/>
      </c>
      <c r="U349" s="156" t="str">
        <f t="shared" si="44"/>
        <v/>
      </c>
      <c r="V349" s="427"/>
      <c r="W349" s="12" t="str">
        <f>IF(T349="","",VLOOKUP(J349,Raumgruppen_Leistungswerte!$B$5:$F$35,5,FALSE))</f>
        <v/>
      </c>
      <c r="X349" s="156" t="str">
        <f t="shared" si="45"/>
        <v/>
      </c>
      <c r="Y349" s="446" t="str">
        <f t="shared" si="46"/>
        <v/>
      </c>
      <c r="Z349" s="158">
        <f t="shared" si="51"/>
        <v>62.136904761904773</v>
      </c>
      <c r="AA349" s="23" t="e">
        <f t="shared" si="52"/>
        <v>#DIV/0!</v>
      </c>
      <c r="AB349" s="445" t="e">
        <f t="shared" si="53"/>
        <v>#DIV/0!</v>
      </c>
      <c r="AC349" s="123"/>
    </row>
    <row r="350" spans="1:29" ht="12" customHeight="1">
      <c r="A350" s="11">
        <v>346</v>
      </c>
      <c r="B350" s="12" t="s">
        <v>495</v>
      </c>
      <c r="C350" s="17">
        <v>3</v>
      </c>
      <c r="D350" s="19" t="s">
        <v>603</v>
      </c>
      <c r="E350" s="17">
        <v>3</v>
      </c>
      <c r="F350" s="316" t="s">
        <v>607</v>
      </c>
      <c r="G350" s="319">
        <v>10.199999999999999</v>
      </c>
      <c r="H350" s="317" t="s">
        <v>394</v>
      </c>
      <c r="I350" s="14" t="s">
        <v>371</v>
      </c>
      <c r="J350" s="21" t="s">
        <v>218</v>
      </c>
      <c r="K350" s="12" t="s">
        <v>14</v>
      </c>
      <c r="L350" s="319">
        <f t="shared" si="50"/>
        <v>10.199999999999999</v>
      </c>
      <c r="M350" s="22">
        <v>5</v>
      </c>
      <c r="N350" s="78">
        <f>IF(K350="NV","",IF(VLOOKUP(M350,'R_Häufigkeit_Faktoren UHR'!$B$4:$I$24,7,FALSE)=0,"",VLOOKUP(M350,'R_Häufigkeit_Faktoren UHR'!$B$4:$I$24,7,FALSE)))</f>
        <v>20.917857142857144</v>
      </c>
      <c r="O350" s="3">
        <f t="shared" si="41"/>
        <v>213.36214285714286</v>
      </c>
      <c r="P350" s="325"/>
      <c r="Q350" s="156">
        <f>IF(N350="","",VLOOKUP(J350,Raumgruppen_Leistungswerte!$B$5:$F$35,5,FALSE))</f>
        <v>0</v>
      </c>
      <c r="R350" s="157" t="e">
        <f t="shared" si="42"/>
        <v>#DIV/0!</v>
      </c>
      <c r="S350" s="445" t="e">
        <f t="shared" si="43"/>
        <v>#DIV/0!</v>
      </c>
      <c r="T350" s="78" t="str">
        <f>IF(K350="NV","",IF(VLOOKUP(M350,'R_Häufigkeit_Faktoren UHR'!$B$4:$I$24,8,FALSE)=0,"",VLOOKUP(M350,'R_Häufigkeit_Faktoren UHR'!$B$4:$I$24,8,FALSE)))</f>
        <v/>
      </c>
      <c r="U350" s="156" t="str">
        <f t="shared" si="44"/>
        <v/>
      </c>
      <c r="V350" s="427"/>
      <c r="W350" s="12" t="str">
        <f>IF(T350="","",VLOOKUP(J350,Raumgruppen_Leistungswerte!$B$5:$F$35,5,FALSE))</f>
        <v/>
      </c>
      <c r="X350" s="156" t="str">
        <f t="shared" si="45"/>
        <v/>
      </c>
      <c r="Y350" s="446" t="str">
        <f t="shared" si="46"/>
        <v/>
      </c>
      <c r="Z350" s="158">
        <f t="shared" si="51"/>
        <v>213.36214285714286</v>
      </c>
      <c r="AA350" s="23" t="e">
        <f t="shared" si="52"/>
        <v>#DIV/0!</v>
      </c>
      <c r="AB350" s="445" t="e">
        <f t="shared" si="53"/>
        <v>#DIV/0!</v>
      </c>
      <c r="AC350" s="123"/>
    </row>
    <row r="351" spans="1:29" ht="12" customHeight="1">
      <c r="A351" s="11">
        <v>347</v>
      </c>
      <c r="B351" s="12" t="s">
        <v>495</v>
      </c>
      <c r="C351" s="17">
        <v>3</v>
      </c>
      <c r="D351" s="19" t="s">
        <v>603</v>
      </c>
      <c r="E351" s="17">
        <v>3</v>
      </c>
      <c r="F351" s="316" t="s">
        <v>608</v>
      </c>
      <c r="G351" s="319">
        <v>1.9</v>
      </c>
      <c r="H351" s="19" t="s">
        <v>381</v>
      </c>
      <c r="I351" s="14" t="s">
        <v>383</v>
      </c>
      <c r="J351" s="21" t="s">
        <v>245</v>
      </c>
      <c r="K351" s="12" t="s">
        <v>14</v>
      </c>
      <c r="L351" s="334">
        <f t="shared" si="50"/>
        <v>1.9</v>
      </c>
      <c r="M351" s="22">
        <v>5</v>
      </c>
      <c r="N351" s="78">
        <f>IF(K351="NV","",IF(VLOOKUP(M351,'R_Häufigkeit_Faktoren UHR'!$B$4:$I$24,7,FALSE)=0,"",VLOOKUP(M351,'R_Häufigkeit_Faktoren UHR'!$B$4:$I$24,7,FALSE)))</f>
        <v>20.917857142857144</v>
      </c>
      <c r="O351" s="3">
        <f t="shared" si="41"/>
        <v>39.743928571428576</v>
      </c>
      <c r="P351" s="325"/>
      <c r="Q351" s="156">
        <f>IF(N351="","",VLOOKUP(J351,Raumgruppen_Leistungswerte!$B$5:$F$35,5,FALSE))</f>
        <v>0</v>
      </c>
      <c r="R351" s="157" t="e">
        <f t="shared" si="42"/>
        <v>#DIV/0!</v>
      </c>
      <c r="S351" s="445" t="e">
        <f t="shared" si="43"/>
        <v>#DIV/0!</v>
      </c>
      <c r="T351" s="78" t="str">
        <f>IF(K351="NV","",IF(VLOOKUP(M351,'R_Häufigkeit_Faktoren UHR'!$B$4:$I$24,8,FALSE)=0,"",VLOOKUP(M351,'R_Häufigkeit_Faktoren UHR'!$B$4:$I$24,8,FALSE)))</f>
        <v/>
      </c>
      <c r="U351" s="156" t="str">
        <f t="shared" si="44"/>
        <v/>
      </c>
      <c r="V351" s="427"/>
      <c r="W351" s="12" t="str">
        <f>IF(T351="","",VLOOKUP(J351,Raumgruppen_Leistungswerte!$B$5:$F$35,5,FALSE))</f>
        <v/>
      </c>
      <c r="X351" s="156" t="str">
        <f t="shared" si="45"/>
        <v/>
      </c>
      <c r="Y351" s="446" t="str">
        <f t="shared" si="46"/>
        <v/>
      </c>
      <c r="Z351" s="158">
        <f t="shared" si="51"/>
        <v>39.743928571428576</v>
      </c>
      <c r="AA351" s="23" t="e">
        <f t="shared" si="52"/>
        <v>#DIV/0!</v>
      </c>
      <c r="AB351" s="445" t="e">
        <f t="shared" si="53"/>
        <v>#DIV/0!</v>
      </c>
      <c r="AC351" s="123"/>
    </row>
    <row r="352" spans="1:29" ht="12" customHeight="1">
      <c r="A352" s="11">
        <v>348</v>
      </c>
      <c r="B352" s="12" t="s">
        <v>495</v>
      </c>
      <c r="C352" s="17">
        <v>3</v>
      </c>
      <c r="D352" s="19" t="s">
        <v>603</v>
      </c>
      <c r="E352" s="17">
        <v>3</v>
      </c>
      <c r="F352" s="18" t="s">
        <v>609</v>
      </c>
      <c r="G352" s="319">
        <v>50.8</v>
      </c>
      <c r="H352" s="19" t="s">
        <v>410</v>
      </c>
      <c r="I352" s="20" t="s">
        <v>371</v>
      </c>
      <c r="J352" s="21" t="s">
        <v>176</v>
      </c>
      <c r="K352" s="12" t="s">
        <v>14</v>
      </c>
      <c r="L352" s="319">
        <f t="shared" si="50"/>
        <v>50.8</v>
      </c>
      <c r="M352" s="22">
        <v>3</v>
      </c>
      <c r="N352" s="78">
        <f>IF(K352="NV","",IF(VLOOKUP(M352,'R_Häufigkeit_Faktoren UHR'!$B$4:$I$24,7,FALSE)=0,"",VLOOKUP(M352,'R_Häufigkeit_Faktoren UHR'!$B$4:$I$24,7,FALSE)))</f>
        <v>13.035714285714286</v>
      </c>
      <c r="O352" s="3">
        <f t="shared" si="41"/>
        <v>662.21428571428567</v>
      </c>
      <c r="P352" s="325"/>
      <c r="Q352" s="156">
        <f>IF(N352="","",VLOOKUP(J352,Raumgruppen_Leistungswerte!$B$5:$F$35,5,FALSE))</f>
        <v>0</v>
      </c>
      <c r="R352" s="157" t="e">
        <f t="shared" si="42"/>
        <v>#DIV/0!</v>
      </c>
      <c r="S352" s="445" t="e">
        <f t="shared" si="43"/>
        <v>#DIV/0!</v>
      </c>
      <c r="T352" s="78" t="str">
        <f>IF(K352="NV","",IF(VLOOKUP(M352,'R_Häufigkeit_Faktoren UHR'!$B$4:$I$24,8,FALSE)=0,"",VLOOKUP(M352,'R_Häufigkeit_Faktoren UHR'!$B$4:$I$24,8,FALSE)))</f>
        <v/>
      </c>
      <c r="U352" s="156" t="str">
        <f t="shared" si="44"/>
        <v/>
      </c>
      <c r="V352" s="427"/>
      <c r="W352" s="12" t="str">
        <f>IF(T352="","",VLOOKUP(J352,Raumgruppen_Leistungswerte!$B$5:$F$35,5,FALSE))</f>
        <v/>
      </c>
      <c r="X352" s="156" t="str">
        <f t="shared" si="45"/>
        <v/>
      </c>
      <c r="Y352" s="446" t="str">
        <f t="shared" si="46"/>
        <v/>
      </c>
      <c r="Z352" s="158">
        <f t="shared" si="51"/>
        <v>662.21428571428567</v>
      </c>
      <c r="AA352" s="23" t="e">
        <f t="shared" si="52"/>
        <v>#DIV/0!</v>
      </c>
      <c r="AB352" s="445" t="e">
        <f t="shared" si="53"/>
        <v>#DIV/0!</v>
      </c>
      <c r="AC352" s="123"/>
    </row>
    <row r="353" spans="1:29" ht="12" customHeight="1">
      <c r="A353" s="11">
        <v>349</v>
      </c>
      <c r="B353" s="12" t="s">
        <v>495</v>
      </c>
      <c r="C353" s="17">
        <v>3</v>
      </c>
      <c r="D353" s="19" t="s">
        <v>603</v>
      </c>
      <c r="E353" s="17">
        <v>3</v>
      </c>
      <c r="F353" s="18" t="s">
        <v>610</v>
      </c>
      <c r="G353" s="319">
        <v>96.2</v>
      </c>
      <c r="H353" s="19" t="s">
        <v>410</v>
      </c>
      <c r="I353" s="14" t="s">
        <v>371</v>
      </c>
      <c r="J353" s="21" t="s">
        <v>176</v>
      </c>
      <c r="K353" s="12" t="s">
        <v>14</v>
      </c>
      <c r="L353" s="319">
        <f t="shared" si="50"/>
        <v>96.2</v>
      </c>
      <c r="M353" s="22">
        <v>3</v>
      </c>
      <c r="N353" s="78">
        <f>IF(K353="NV","",IF(VLOOKUP(M353,'R_Häufigkeit_Faktoren UHR'!$B$4:$I$24,7,FALSE)=0,"",VLOOKUP(M353,'R_Häufigkeit_Faktoren UHR'!$B$4:$I$24,7,FALSE)))</f>
        <v>13.035714285714286</v>
      </c>
      <c r="O353" s="3">
        <f t="shared" si="41"/>
        <v>1254.0357142857144</v>
      </c>
      <c r="P353" s="325"/>
      <c r="Q353" s="156">
        <f>IF(N353="","",VLOOKUP(J353,Raumgruppen_Leistungswerte!$B$5:$F$35,5,FALSE))</f>
        <v>0</v>
      </c>
      <c r="R353" s="157" t="e">
        <f t="shared" si="42"/>
        <v>#DIV/0!</v>
      </c>
      <c r="S353" s="445" t="e">
        <f t="shared" si="43"/>
        <v>#DIV/0!</v>
      </c>
      <c r="T353" s="78" t="str">
        <f>IF(K353="NV","",IF(VLOOKUP(M353,'R_Häufigkeit_Faktoren UHR'!$B$4:$I$24,8,FALSE)=0,"",VLOOKUP(M353,'R_Häufigkeit_Faktoren UHR'!$B$4:$I$24,8,FALSE)))</f>
        <v/>
      </c>
      <c r="U353" s="156" t="str">
        <f t="shared" si="44"/>
        <v/>
      </c>
      <c r="V353" s="427"/>
      <c r="W353" s="12" t="str">
        <f>IF(T353="","",VLOOKUP(J353,Raumgruppen_Leistungswerte!$B$5:$F$35,5,FALSE))</f>
        <v/>
      </c>
      <c r="X353" s="156" t="str">
        <f t="shared" si="45"/>
        <v/>
      </c>
      <c r="Y353" s="446" t="str">
        <f t="shared" si="46"/>
        <v/>
      </c>
      <c r="Z353" s="158">
        <f t="shared" si="51"/>
        <v>1254.0357142857144</v>
      </c>
      <c r="AA353" s="23" t="e">
        <f t="shared" si="52"/>
        <v>#DIV/0!</v>
      </c>
      <c r="AB353" s="445" t="e">
        <f t="shared" si="53"/>
        <v>#DIV/0!</v>
      </c>
      <c r="AC353" s="123"/>
    </row>
    <row r="354" spans="1:29" ht="12" customHeight="1">
      <c r="A354" s="11">
        <v>350</v>
      </c>
      <c r="B354" s="12" t="s">
        <v>495</v>
      </c>
      <c r="C354" s="17">
        <v>3</v>
      </c>
      <c r="D354" s="19" t="s">
        <v>603</v>
      </c>
      <c r="E354" s="17">
        <v>4</v>
      </c>
      <c r="F354" s="18" t="s">
        <v>527</v>
      </c>
      <c r="G354" s="4">
        <v>100.4</v>
      </c>
      <c r="H354" s="19" t="s">
        <v>320</v>
      </c>
      <c r="I354" s="20" t="s">
        <v>383</v>
      </c>
      <c r="J354" s="21" t="s">
        <v>238</v>
      </c>
      <c r="K354" s="12" t="s">
        <v>14</v>
      </c>
      <c r="L354" s="17">
        <f t="shared" ref="L354:L403" si="54">IF(K354="NV","",G354)</f>
        <v>100.4</v>
      </c>
      <c r="M354" s="22">
        <v>5</v>
      </c>
      <c r="N354" s="79">
        <f>IF(K354="NV","",IF(VLOOKUP(M354,'R_Häufigkeit_Faktoren UHR'!$B$4:$I$24,7,FALSE)=0,"",VLOOKUP(M354,'R_Häufigkeit_Faktoren UHR'!$B$4:$I$24,7,FALSE)))</f>
        <v>20.917857142857144</v>
      </c>
      <c r="O354" s="3">
        <f t="shared" si="41"/>
        <v>2100.1528571428576</v>
      </c>
      <c r="P354" s="325"/>
      <c r="Q354" s="156">
        <f>IF(N354="","",VLOOKUP(J354,Raumgruppen_Leistungswerte!$B$5:$F$35,5,FALSE))</f>
        <v>0</v>
      </c>
      <c r="R354" s="157" t="e">
        <f t="shared" si="42"/>
        <v>#DIV/0!</v>
      </c>
      <c r="S354" s="445" t="e">
        <f t="shared" si="43"/>
        <v>#DIV/0!</v>
      </c>
      <c r="T354" s="78" t="str">
        <f>IF(K354="NV","",IF(VLOOKUP(M354,'R_Häufigkeit_Faktoren UHR'!$B$4:$I$24,8,FALSE)=0,"",VLOOKUP(M354,'R_Häufigkeit_Faktoren UHR'!$B$4:$I$24,8,FALSE)))</f>
        <v/>
      </c>
      <c r="U354" s="156" t="str">
        <f t="shared" si="44"/>
        <v/>
      </c>
      <c r="V354" s="427"/>
      <c r="W354" s="12" t="str">
        <f>IF(T354="","",VLOOKUP(J354,Raumgruppen_Leistungswerte!$B$5:$F$35,5,FALSE))</f>
        <v/>
      </c>
      <c r="X354" s="156" t="str">
        <f t="shared" si="45"/>
        <v/>
      </c>
      <c r="Y354" s="446" t="str">
        <f t="shared" si="46"/>
        <v/>
      </c>
      <c r="Z354" s="158">
        <f t="shared" ref="Z354:Z403" si="55">IF(U354="",O354,O354+U354)</f>
        <v>2100.1528571428576</v>
      </c>
      <c r="AA354" s="23" t="e">
        <f t="shared" ref="AA354:AA403" si="56">IF(X354="",R354,X354+R354)</f>
        <v>#DIV/0!</v>
      </c>
      <c r="AB354" s="445" t="e">
        <f t="shared" ref="AB354:AB403" si="57">IF(Y354="",S354,S354+Y354)</f>
        <v>#DIV/0!</v>
      </c>
      <c r="AC354" s="123"/>
    </row>
    <row r="355" spans="1:29" ht="12" customHeight="1">
      <c r="A355" s="11">
        <v>351</v>
      </c>
      <c r="B355" s="12" t="s">
        <v>495</v>
      </c>
      <c r="C355" s="17">
        <v>3</v>
      </c>
      <c r="D355" s="19" t="s">
        <v>611</v>
      </c>
      <c r="E355" s="17">
        <v>4</v>
      </c>
      <c r="F355" s="18" t="s">
        <v>612</v>
      </c>
      <c r="G355" s="4">
        <v>33.6</v>
      </c>
      <c r="H355" s="19" t="s">
        <v>410</v>
      </c>
      <c r="I355" s="20" t="s">
        <v>371</v>
      </c>
      <c r="J355" s="21" t="s">
        <v>176</v>
      </c>
      <c r="K355" s="12" t="s">
        <v>14</v>
      </c>
      <c r="L355" s="17">
        <f t="shared" si="54"/>
        <v>33.6</v>
      </c>
      <c r="M355" s="22">
        <v>1</v>
      </c>
      <c r="N355" s="78">
        <f>IF(K355="NV","",IF(VLOOKUP(M355,'R_Häufigkeit_Faktoren UHR'!$B$4:$I$24,7,FALSE)=0,"",VLOOKUP(M355,'R_Häufigkeit_Faktoren UHR'!$B$4:$I$24,7,FALSE)))</f>
        <v>4.3452380952380958</v>
      </c>
      <c r="O355" s="3">
        <f t="shared" si="41"/>
        <v>146.00000000000003</v>
      </c>
      <c r="P355" s="325"/>
      <c r="Q355" s="156">
        <f>IF(N355="","",VLOOKUP(J355,Raumgruppen_Leistungswerte!$B$5:$F$35,5,FALSE))</f>
        <v>0</v>
      </c>
      <c r="R355" s="157" t="e">
        <f t="shared" si="42"/>
        <v>#DIV/0!</v>
      </c>
      <c r="S355" s="445" t="e">
        <f t="shared" si="43"/>
        <v>#DIV/0!</v>
      </c>
      <c r="T355" s="78" t="str">
        <f>IF(K355="NV","",IF(VLOOKUP(M355,'R_Häufigkeit_Faktoren UHR'!$B$4:$I$24,8,FALSE)=0,"",VLOOKUP(M355,'R_Häufigkeit_Faktoren UHR'!$B$4:$I$24,8,FALSE)))</f>
        <v/>
      </c>
      <c r="U355" s="156" t="str">
        <f t="shared" si="44"/>
        <v/>
      </c>
      <c r="V355" s="427"/>
      <c r="W355" s="12" t="str">
        <f>IF(T355="","",VLOOKUP(J355,Raumgruppen_Leistungswerte!$B$5:$F$35,5,FALSE))</f>
        <v/>
      </c>
      <c r="X355" s="156" t="str">
        <f t="shared" si="45"/>
        <v/>
      </c>
      <c r="Y355" s="446" t="str">
        <f t="shared" si="46"/>
        <v/>
      </c>
      <c r="Z355" s="158">
        <f t="shared" si="55"/>
        <v>146.00000000000003</v>
      </c>
      <c r="AA355" s="23" t="e">
        <f t="shared" si="56"/>
        <v>#DIV/0!</v>
      </c>
      <c r="AB355" s="445" t="e">
        <f t="shared" si="57"/>
        <v>#DIV/0!</v>
      </c>
      <c r="AC355" s="123"/>
    </row>
    <row r="356" spans="1:29" ht="12" customHeight="1">
      <c r="A356" s="11">
        <v>352</v>
      </c>
      <c r="B356" s="12" t="s">
        <v>495</v>
      </c>
      <c r="C356" s="17">
        <v>3</v>
      </c>
      <c r="D356" s="19" t="s">
        <v>611</v>
      </c>
      <c r="E356" s="17">
        <v>4</v>
      </c>
      <c r="F356" s="18" t="s">
        <v>613</v>
      </c>
      <c r="G356" s="4">
        <v>6.2</v>
      </c>
      <c r="H356" s="19" t="s">
        <v>494</v>
      </c>
      <c r="I356" s="20" t="s">
        <v>383</v>
      </c>
      <c r="J356" s="21" t="s">
        <v>251</v>
      </c>
      <c r="K356" s="12" t="s">
        <v>14</v>
      </c>
      <c r="L356" s="4">
        <f t="shared" si="54"/>
        <v>6.2</v>
      </c>
      <c r="M356" s="22">
        <v>1</v>
      </c>
      <c r="N356" s="78">
        <f>IF(K356="NV","",IF(VLOOKUP(M356,'R_Häufigkeit_Faktoren UHR'!$B$4:$I$24,7,FALSE)=0,"",VLOOKUP(M356,'R_Häufigkeit_Faktoren UHR'!$B$4:$I$24,7,FALSE)))</f>
        <v>4.3452380952380958</v>
      </c>
      <c r="O356" s="3">
        <f t="shared" si="41"/>
        <v>26.940476190476193</v>
      </c>
      <c r="P356" s="325"/>
      <c r="Q356" s="156">
        <f>IF(N356="","",VLOOKUP(J356,Raumgruppen_Leistungswerte!$B$5:$F$35,5,FALSE))</f>
        <v>0</v>
      </c>
      <c r="R356" s="157" t="e">
        <f t="shared" si="42"/>
        <v>#DIV/0!</v>
      </c>
      <c r="S356" s="445" t="e">
        <f t="shared" si="43"/>
        <v>#DIV/0!</v>
      </c>
      <c r="T356" s="78" t="str">
        <f>IF(K356="NV","",IF(VLOOKUP(M356,'R_Häufigkeit_Faktoren UHR'!$B$4:$I$24,8,FALSE)=0,"",VLOOKUP(M356,'R_Häufigkeit_Faktoren UHR'!$B$4:$I$24,8,FALSE)))</f>
        <v/>
      </c>
      <c r="U356" s="156" t="str">
        <f t="shared" si="44"/>
        <v/>
      </c>
      <c r="V356" s="427"/>
      <c r="W356" s="12" t="str">
        <f>IF(T356="","",VLOOKUP(J356,Raumgruppen_Leistungswerte!$B$5:$F$35,5,FALSE))</f>
        <v/>
      </c>
      <c r="X356" s="156" t="str">
        <f t="shared" si="45"/>
        <v/>
      </c>
      <c r="Y356" s="446" t="str">
        <f t="shared" si="46"/>
        <v/>
      </c>
      <c r="Z356" s="158">
        <f t="shared" si="55"/>
        <v>26.940476190476193</v>
      </c>
      <c r="AA356" s="23" t="e">
        <f t="shared" si="56"/>
        <v>#DIV/0!</v>
      </c>
      <c r="AB356" s="445" t="e">
        <f t="shared" si="57"/>
        <v>#DIV/0!</v>
      </c>
      <c r="AC356" s="123"/>
    </row>
    <row r="357" spans="1:29" ht="12" customHeight="1">
      <c r="A357" s="11">
        <v>353</v>
      </c>
      <c r="B357" s="12" t="s">
        <v>495</v>
      </c>
      <c r="C357" s="17">
        <v>3</v>
      </c>
      <c r="D357" s="19" t="s">
        <v>611</v>
      </c>
      <c r="E357" s="17">
        <v>4</v>
      </c>
      <c r="F357" s="18" t="s">
        <v>614</v>
      </c>
      <c r="G357" s="4">
        <v>16.2</v>
      </c>
      <c r="H357" s="19" t="s">
        <v>410</v>
      </c>
      <c r="I357" s="14" t="s">
        <v>371</v>
      </c>
      <c r="J357" s="21" t="s">
        <v>176</v>
      </c>
      <c r="K357" s="12" t="s">
        <v>14</v>
      </c>
      <c r="L357" s="17">
        <f t="shared" si="54"/>
        <v>16.2</v>
      </c>
      <c r="M357" s="22">
        <v>1</v>
      </c>
      <c r="N357" s="78">
        <f>IF(K357="NV","",IF(VLOOKUP(M357,'R_Häufigkeit_Faktoren UHR'!$B$4:$I$24,7,FALSE)=0,"",VLOOKUP(M357,'R_Häufigkeit_Faktoren UHR'!$B$4:$I$24,7,FALSE)))</f>
        <v>4.3452380952380958</v>
      </c>
      <c r="O357" s="3">
        <f t="shared" si="41"/>
        <v>70.392857142857153</v>
      </c>
      <c r="P357" s="325"/>
      <c r="Q357" s="156">
        <f>IF(N357="","",VLOOKUP(J357,Raumgruppen_Leistungswerte!$B$5:$F$35,5,FALSE))</f>
        <v>0</v>
      </c>
      <c r="R357" s="157" t="e">
        <f t="shared" si="42"/>
        <v>#DIV/0!</v>
      </c>
      <c r="S357" s="445" t="e">
        <f t="shared" si="43"/>
        <v>#DIV/0!</v>
      </c>
      <c r="T357" s="78" t="str">
        <f>IF(K357="NV","",IF(VLOOKUP(M357,'R_Häufigkeit_Faktoren UHR'!$B$4:$I$24,8,FALSE)=0,"",VLOOKUP(M357,'R_Häufigkeit_Faktoren UHR'!$B$4:$I$24,8,FALSE)))</f>
        <v/>
      </c>
      <c r="U357" s="156" t="str">
        <f t="shared" si="44"/>
        <v/>
      </c>
      <c r="V357" s="427"/>
      <c r="W357" s="12" t="str">
        <f>IF(T357="","",VLOOKUP(J357,Raumgruppen_Leistungswerte!$B$5:$F$35,5,FALSE))</f>
        <v/>
      </c>
      <c r="X357" s="156" t="str">
        <f t="shared" si="45"/>
        <v/>
      </c>
      <c r="Y357" s="446" t="str">
        <f t="shared" si="46"/>
        <v/>
      </c>
      <c r="Z357" s="158">
        <f t="shared" si="55"/>
        <v>70.392857142857153</v>
      </c>
      <c r="AA357" s="23" t="e">
        <f t="shared" si="56"/>
        <v>#DIV/0!</v>
      </c>
      <c r="AB357" s="445" t="e">
        <f t="shared" si="57"/>
        <v>#DIV/0!</v>
      </c>
      <c r="AC357" s="123"/>
    </row>
    <row r="358" spans="1:29" ht="12" customHeight="1">
      <c r="A358" s="11">
        <v>354</v>
      </c>
      <c r="B358" s="12" t="s">
        <v>495</v>
      </c>
      <c r="C358" s="17">
        <v>3</v>
      </c>
      <c r="D358" s="19" t="s">
        <v>611</v>
      </c>
      <c r="E358" s="17">
        <v>4</v>
      </c>
      <c r="F358" s="18" t="s">
        <v>615</v>
      </c>
      <c r="G358" s="4">
        <v>16.100000000000001</v>
      </c>
      <c r="H358" s="19" t="s">
        <v>410</v>
      </c>
      <c r="I358" s="14" t="s">
        <v>371</v>
      </c>
      <c r="J358" s="21" t="s">
        <v>176</v>
      </c>
      <c r="K358" s="12" t="s">
        <v>14</v>
      </c>
      <c r="L358" s="17">
        <f t="shared" si="54"/>
        <v>16.100000000000001</v>
      </c>
      <c r="M358" s="22">
        <v>1</v>
      </c>
      <c r="N358" s="78">
        <f>IF(K358="NV","",IF(VLOOKUP(M358,'R_Häufigkeit_Faktoren UHR'!$B$4:$I$24,7,FALSE)=0,"",VLOOKUP(M358,'R_Häufigkeit_Faktoren UHR'!$B$4:$I$24,7,FALSE)))</f>
        <v>4.3452380952380958</v>
      </c>
      <c r="O358" s="3">
        <f t="shared" si="41"/>
        <v>69.958333333333343</v>
      </c>
      <c r="P358" s="325"/>
      <c r="Q358" s="156">
        <f>IF(N358="","",VLOOKUP(J358,Raumgruppen_Leistungswerte!$B$5:$F$35,5,FALSE))</f>
        <v>0</v>
      </c>
      <c r="R358" s="157" t="e">
        <f t="shared" si="42"/>
        <v>#DIV/0!</v>
      </c>
      <c r="S358" s="445" t="e">
        <f t="shared" si="43"/>
        <v>#DIV/0!</v>
      </c>
      <c r="T358" s="78" t="str">
        <f>IF(K358="NV","",IF(VLOOKUP(M358,'R_Häufigkeit_Faktoren UHR'!$B$4:$I$24,8,FALSE)=0,"",VLOOKUP(M358,'R_Häufigkeit_Faktoren UHR'!$B$4:$I$24,8,FALSE)))</f>
        <v/>
      </c>
      <c r="U358" s="156" t="str">
        <f t="shared" si="44"/>
        <v/>
      </c>
      <c r="V358" s="427"/>
      <c r="W358" s="12" t="str">
        <f>IF(T358="","",VLOOKUP(J358,Raumgruppen_Leistungswerte!$B$5:$F$35,5,FALSE))</f>
        <v/>
      </c>
      <c r="X358" s="156" t="str">
        <f t="shared" si="45"/>
        <v/>
      </c>
      <c r="Y358" s="446" t="str">
        <f t="shared" si="46"/>
        <v/>
      </c>
      <c r="Z358" s="158">
        <f t="shared" si="55"/>
        <v>69.958333333333343</v>
      </c>
      <c r="AA358" s="23" t="e">
        <f t="shared" si="56"/>
        <v>#DIV/0!</v>
      </c>
      <c r="AB358" s="445" t="e">
        <f t="shared" si="57"/>
        <v>#DIV/0!</v>
      </c>
      <c r="AC358" s="123"/>
    </row>
    <row r="359" spans="1:29" ht="12" customHeight="1">
      <c r="A359" s="11">
        <v>355</v>
      </c>
      <c r="B359" s="12" t="s">
        <v>495</v>
      </c>
      <c r="C359" s="17">
        <v>3</v>
      </c>
      <c r="D359" s="19" t="s">
        <v>611</v>
      </c>
      <c r="E359" s="17">
        <v>4</v>
      </c>
      <c r="F359" s="18" t="s">
        <v>616</v>
      </c>
      <c r="G359" s="4">
        <v>7.2</v>
      </c>
      <c r="H359" s="19" t="s">
        <v>494</v>
      </c>
      <c r="I359" s="14" t="s">
        <v>383</v>
      </c>
      <c r="J359" s="21" t="s">
        <v>251</v>
      </c>
      <c r="K359" s="12" t="s">
        <v>14</v>
      </c>
      <c r="L359" s="4">
        <f t="shared" si="54"/>
        <v>7.2</v>
      </c>
      <c r="M359" s="22">
        <v>1</v>
      </c>
      <c r="N359" s="79">
        <f>IF(K359="NV","",IF(VLOOKUP(M359,'R_Häufigkeit_Faktoren UHR'!$B$4:$I$24,7,FALSE)=0,"",VLOOKUP(M359,'R_Häufigkeit_Faktoren UHR'!$B$4:$I$24,7,FALSE)))</f>
        <v>4.3452380952380958</v>
      </c>
      <c r="O359" s="3">
        <f t="shared" si="41"/>
        <v>31.285714285714292</v>
      </c>
      <c r="P359" s="325"/>
      <c r="Q359" s="156">
        <f>IF(N359="","",VLOOKUP(J359,Raumgruppen_Leistungswerte!$B$5:$F$35,5,FALSE))</f>
        <v>0</v>
      </c>
      <c r="R359" s="157" t="e">
        <f t="shared" si="42"/>
        <v>#DIV/0!</v>
      </c>
      <c r="S359" s="445" t="e">
        <f t="shared" si="43"/>
        <v>#DIV/0!</v>
      </c>
      <c r="T359" s="78" t="str">
        <f>IF(K359="NV","",IF(VLOOKUP(M359,'R_Häufigkeit_Faktoren UHR'!$B$4:$I$24,8,FALSE)=0,"",VLOOKUP(M359,'R_Häufigkeit_Faktoren UHR'!$B$4:$I$24,8,FALSE)))</f>
        <v/>
      </c>
      <c r="U359" s="156" t="str">
        <f t="shared" si="44"/>
        <v/>
      </c>
      <c r="V359" s="427"/>
      <c r="W359" s="12" t="str">
        <f>IF(T359="","",VLOOKUP(J359,Raumgruppen_Leistungswerte!$B$5:$F$35,5,FALSE))</f>
        <v/>
      </c>
      <c r="X359" s="156" t="str">
        <f t="shared" si="45"/>
        <v/>
      </c>
      <c r="Y359" s="446" t="str">
        <f t="shared" si="46"/>
        <v/>
      </c>
      <c r="Z359" s="158">
        <f t="shared" si="55"/>
        <v>31.285714285714292</v>
      </c>
      <c r="AA359" s="23" t="e">
        <f t="shared" si="56"/>
        <v>#DIV/0!</v>
      </c>
      <c r="AB359" s="445" t="e">
        <f t="shared" si="57"/>
        <v>#DIV/0!</v>
      </c>
      <c r="AC359" s="123"/>
    </row>
    <row r="360" spans="1:29" ht="12" customHeight="1">
      <c r="A360" s="11">
        <v>356</v>
      </c>
      <c r="B360" s="12" t="s">
        <v>495</v>
      </c>
      <c r="C360" s="17">
        <v>3</v>
      </c>
      <c r="D360" s="19" t="s">
        <v>611</v>
      </c>
      <c r="E360" s="17">
        <v>4</v>
      </c>
      <c r="F360" s="18" t="s">
        <v>617</v>
      </c>
      <c r="G360" s="4">
        <v>60.7</v>
      </c>
      <c r="H360" s="19" t="s">
        <v>513</v>
      </c>
      <c r="I360" s="14" t="s">
        <v>383</v>
      </c>
      <c r="J360" s="21" t="s">
        <v>219</v>
      </c>
      <c r="K360" s="12" t="s">
        <v>14</v>
      </c>
      <c r="L360" s="18">
        <f t="shared" si="54"/>
        <v>60.7</v>
      </c>
      <c r="M360" s="22">
        <v>5</v>
      </c>
      <c r="N360" s="79">
        <f>IF(K360="NV","",IF(VLOOKUP(M360,'R_Häufigkeit_Faktoren UHR'!$B$4:$I$24,7,FALSE)=0,"",VLOOKUP(M360,'R_Häufigkeit_Faktoren UHR'!$B$4:$I$24,7,FALSE)))</f>
        <v>20.917857142857144</v>
      </c>
      <c r="O360" s="3">
        <f t="shared" si="41"/>
        <v>1269.7139285714288</v>
      </c>
      <c r="P360" s="325"/>
      <c r="Q360" s="156">
        <f>IF(N360="","",VLOOKUP(J360,Raumgruppen_Leistungswerte!$B$5:$F$35,5,FALSE))</f>
        <v>0</v>
      </c>
      <c r="R360" s="157" t="e">
        <f t="shared" si="42"/>
        <v>#DIV/0!</v>
      </c>
      <c r="S360" s="445" t="e">
        <f t="shared" si="43"/>
        <v>#DIV/0!</v>
      </c>
      <c r="T360" s="78" t="str">
        <f>IF(K360="NV","",IF(VLOOKUP(M360,'R_Häufigkeit_Faktoren UHR'!$B$4:$I$24,8,FALSE)=0,"",VLOOKUP(M360,'R_Häufigkeit_Faktoren UHR'!$B$4:$I$24,8,FALSE)))</f>
        <v/>
      </c>
      <c r="U360" s="156" t="str">
        <f t="shared" si="44"/>
        <v/>
      </c>
      <c r="V360" s="427"/>
      <c r="W360" s="12" t="str">
        <f>IF(T360="","",VLOOKUP(J360,Raumgruppen_Leistungswerte!$B$5:$F$35,5,FALSE))</f>
        <v/>
      </c>
      <c r="X360" s="156" t="str">
        <f t="shared" si="45"/>
        <v/>
      </c>
      <c r="Y360" s="446" t="str">
        <f t="shared" si="46"/>
        <v/>
      </c>
      <c r="Z360" s="158">
        <f t="shared" si="55"/>
        <v>1269.7139285714288</v>
      </c>
      <c r="AA360" s="23" t="e">
        <f t="shared" si="56"/>
        <v>#DIV/0!</v>
      </c>
      <c r="AB360" s="445" t="e">
        <f t="shared" si="57"/>
        <v>#DIV/0!</v>
      </c>
      <c r="AC360" s="123"/>
    </row>
    <row r="361" spans="1:29" ht="12" customHeight="1">
      <c r="A361" s="11">
        <v>357</v>
      </c>
      <c r="B361" s="12" t="s">
        <v>495</v>
      </c>
      <c r="C361" s="17">
        <v>3</v>
      </c>
      <c r="D361" s="19" t="s">
        <v>611</v>
      </c>
      <c r="E361" s="17">
        <v>4</v>
      </c>
      <c r="F361" s="18" t="s">
        <v>618</v>
      </c>
      <c r="G361" s="4">
        <v>60.6</v>
      </c>
      <c r="H361" s="19" t="s">
        <v>513</v>
      </c>
      <c r="I361" s="20" t="s">
        <v>383</v>
      </c>
      <c r="J361" s="21" t="s">
        <v>219</v>
      </c>
      <c r="K361" s="12" t="s">
        <v>14</v>
      </c>
      <c r="L361" s="18">
        <f t="shared" si="54"/>
        <v>60.6</v>
      </c>
      <c r="M361" s="22">
        <v>5</v>
      </c>
      <c r="N361" s="79">
        <f>IF(K361="NV","",IF(VLOOKUP(M361,'R_Häufigkeit_Faktoren UHR'!$B$4:$I$24,7,FALSE)=0,"",VLOOKUP(M361,'R_Häufigkeit_Faktoren UHR'!$B$4:$I$24,7,FALSE)))</f>
        <v>20.917857142857144</v>
      </c>
      <c r="O361" s="3">
        <f t="shared" ref="O361:O404" si="58">IF(N361="","",N361*L361)</f>
        <v>1267.622142857143</v>
      </c>
      <c r="P361" s="325"/>
      <c r="Q361" s="156">
        <f>IF(N361="","",VLOOKUP(J361,Raumgruppen_Leistungswerte!$B$5:$F$35,5,FALSE))</f>
        <v>0</v>
      </c>
      <c r="R361" s="157" t="e">
        <f t="shared" ref="R361:R404" si="59">IF(N361="","",L361/Q361*N361)</f>
        <v>#DIV/0!</v>
      </c>
      <c r="S361" s="445" t="e">
        <f t="shared" ref="S361:S404" si="60">IF(K361="NV","",R361*P361)</f>
        <v>#DIV/0!</v>
      </c>
      <c r="T361" s="78" t="str">
        <f>IF(K361="NV","",IF(VLOOKUP(M361,'R_Häufigkeit_Faktoren UHR'!$B$4:$I$24,8,FALSE)=0,"",VLOOKUP(M361,'R_Häufigkeit_Faktoren UHR'!$B$4:$I$24,8,FALSE)))</f>
        <v/>
      </c>
      <c r="U361" s="156" t="str">
        <f t="shared" ref="U361:U404" si="61">IF(T361="","",T361*L361)</f>
        <v/>
      </c>
      <c r="V361" s="427"/>
      <c r="W361" s="12" t="str">
        <f>IF(T361="","",VLOOKUP(J361,Raumgruppen_Leistungswerte!$B$5:$F$35,5,FALSE))</f>
        <v/>
      </c>
      <c r="X361" s="156" t="str">
        <f t="shared" ref="X361:X404" si="62">IF(T361="","",L361/W361*T361)</f>
        <v/>
      </c>
      <c r="Y361" s="446" t="str">
        <f t="shared" ref="Y361:Y404" si="63">IF(T361="","",X361*V361)</f>
        <v/>
      </c>
      <c r="Z361" s="158">
        <f t="shared" si="55"/>
        <v>1267.622142857143</v>
      </c>
      <c r="AA361" s="23" t="e">
        <f t="shared" si="56"/>
        <v>#DIV/0!</v>
      </c>
      <c r="AB361" s="445" t="e">
        <f t="shared" si="57"/>
        <v>#DIV/0!</v>
      </c>
      <c r="AC361" s="123"/>
    </row>
    <row r="362" spans="1:29" ht="12" customHeight="1">
      <c r="A362" s="11">
        <v>358</v>
      </c>
      <c r="B362" s="12" t="s">
        <v>495</v>
      </c>
      <c r="C362" s="17">
        <v>3</v>
      </c>
      <c r="D362" s="19" t="s">
        <v>556</v>
      </c>
      <c r="E362" s="17">
        <v>4</v>
      </c>
      <c r="F362" s="18" t="s">
        <v>619</v>
      </c>
      <c r="G362" s="4">
        <v>50.3</v>
      </c>
      <c r="H362" s="19" t="s">
        <v>554</v>
      </c>
      <c r="I362" s="20" t="s">
        <v>383</v>
      </c>
      <c r="J362" s="21" t="s">
        <v>219</v>
      </c>
      <c r="K362" s="12" t="s">
        <v>14</v>
      </c>
      <c r="L362" s="17">
        <f t="shared" si="54"/>
        <v>50.3</v>
      </c>
      <c r="M362" s="22">
        <v>5</v>
      </c>
      <c r="N362" s="79">
        <f>IF(K362="NV","",IF(VLOOKUP(M362,'R_Häufigkeit_Faktoren UHR'!$B$4:$I$24,7,FALSE)=0,"",VLOOKUP(M362,'R_Häufigkeit_Faktoren UHR'!$B$4:$I$24,7,FALSE)))</f>
        <v>20.917857142857144</v>
      </c>
      <c r="O362" s="3">
        <f t="shared" si="58"/>
        <v>1052.1682142857144</v>
      </c>
      <c r="P362" s="325"/>
      <c r="Q362" s="156">
        <f>IF(N362="","",VLOOKUP(J362,Raumgruppen_Leistungswerte!$B$5:$F$35,5,FALSE))</f>
        <v>0</v>
      </c>
      <c r="R362" s="157" t="e">
        <f t="shared" si="59"/>
        <v>#DIV/0!</v>
      </c>
      <c r="S362" s="445" t="e">
        <f t="shared" si="60"/>
        <v>#DIV/0!</v>
      </c>
      <c r="T362" s="78" t="str">
        <f>IF(K362="NV","",IF(VLOOKUP(M362,'R_Häufigkeit_Faktoren UHR'!$B$4:$I$24,8,FALSE)=0,"",VLOOKUP(M362,'R_Häufigkeit_Faktoren UHR'!$B$4:$I$24,8,FALSE)))</f>
        <v/>
      </c>
      <c r="U362" s="156" t="str">
        <f t="shared" si="61"/>
        <v/>
      </c>
      <c r="V362" s="427"/>
      <c r="W362" s="12" t="str">
        <f>IF(T362="","",VLOOKUP(J362,Raumgruppen_Leistungswerte!$B$5:$F$35,5,FALSE))</f>
        <v/>
      </c>
      <c r="X362" s="156" t="str">
        <f t="shared" si="62"/>
        <v/>
      </c>
      <c r="Y362" s="446" t="str">
        <f t="shared" si="63"/>
        <v/>
      </c>
      <c r="Z362" s="158">
        <f t="shared" si="55"/>
        <v>1052.1682142857144</v>
      </c>
      <c r="AA362" s="23" t="e">
        <f t="shared" si="56"/>
        <v>#DIV/0!</v>
      </c>
      <c r="AB362" s="445" t="e">
        <f t="shared" si="57"/>
        <v>#DIV/0!</v>
      </c>
      <c r="AC362" s="123"/>
    </row>
    <row r="363" spans="1:29" ht="12" customHeight="1">
      <c r="A363" s="11">
        <v>359</v>
      </c>
      <c r="B363" s="12" t="s">
        <v>495</v>
      </c>
      <c r="C363" s="17">
        <v>3</v>
      </c>
      <c r="D363" s="19" t="s">
        <v>611</v>
      </c>
      <c r="E363" s="17">
        <v>4</v>
      </c>
      <c r="F363" s="18" t="s">
        <v>620</v>
      </c>
      <c r="G363" s="4">
        <v>2.8</v>
      </c>
      <c r="H363" s="19" t="s">
        <v>381</v>
      </c>
      <c r="I363" s="20" t="s">
        <v>383</v>
      </c>
      <c r="J363" s="21" t="s">
        <v>245</v>
      </c>
      <c r="K363" s="12" t="s">
        <v>14</v>
      </c>
      <c r="L363" s="4">
        <f t="shared" si="54"/>
        <v>2.8</v>
      </c>
      <c r="M363" s="22">
        <v>5</v>
      </c>
      <c r="N363" s="79">
        <f>IF(K363="NV","",IF(VLOOKUP(M363,'R_Häufigkeit_Faktoren UHR'!$B$4:$I$24,7,FALSE)=0,"",VLOOKUP(M363,'R_Häufigkeit_Faktoren UHR'!$B$4:$I$24,7,FALSE)))</f>
        <v>20.917857142857144</v>
      </c>
      <c r="O363" s="3">
        <f t="shared" si="58"/>
        <v>58.57</v>
      </c>
      <c r="P363" s="325"/>
      <c r="Q363" s="156">
        <f>IF(N363="","",VLOOKUP(J363,Raumgruppen_Leistungswerte!$B$5:$F$35,5,FALSE))</f>
        <v>0</v>
      </c>
      <c r="R363" s="157" t="e">
        <f t="shared" si="59"/>
        <v>#DIV/0!</v>
      </c>
      <c r="S363" s="445" t="e">
        <f t="shared" si="60"/>
        <v>#DIV/0!</v>
      </c>
      <c r="T363" s="78" t="str">
        <f>IF(K363="NV","",IF(VLOOKUP(M363,'R_Häufigkeit_Faktoren UHR'!$B$4:$I$24,8,FALSE)=0,"",VLOOKUP(M363,'R_Häufigkeit_Faktoren UHR'!$B$4:$I$24,8,FALSE)))</f>
        <v/>
      </c>
      <c r="U363" s="156" t="str">
        <f t="shared" si="61"/>
        <v/>
      </c>
      <c r="V363" s="427"/>
      <c r="W363" s="12" t="str">
        <f>IF(T363="","",VLOOKUP(J363,Raumgruppen_Leistungswerte!$B$5:$F$35,5,FALSE))</f>
        <v/>
      </c>
      <c r="X363" s="156" t="str">
        <f t="shared" si="62"/>
        <v/>
      </c>
      <c r="Y363" s="446" t="str">
        <f t="shared" si="63"/>
        <v/>
      </c>
      <c r="Z363" s="158">
        <f t="shared" si="55"/>
        <v>58.57</v>
      </c>
      <c r="AA363" s="23" t="e">
        <f t="shared" si="56"/>
        <v>#DIV/0!</v>
      </c>
      <c r="AB363" s="445" t="e">
        <f t="shared" si="57"/>
        <v>#DIV/0!</v>
      </c>
      <c r="AC363" s="123"/>
    </row>
    <row r="364" spans="1:29" ht="12" customHeight="1">
      <c r="A364" s="11">
        <v>360</v>
      </c>
      <c r="B364" s="12" t="s">
        <v>495</v>
      </c>
      <c r="C364" s="17">
        <v>3</v>
      </c>
      <c r="D364" s="19" t="s">
        <v>611</v>
      </c>
      <c r="E364" s="17">
        <v>4</v>
      </c>
      <c r="F364" s="18" t="s">
        <v>621</v>
      </c>
      <c r="G364" s="4">
        <v>32</v>
      </c>
      <c r="H364" s="19" t="s">
        <v>410</v>
      </c>
      <c r="I364" s="20" t="s">
        <v>383</v>
      </c>
      <c r="J364" s="15" t="s">
        <v>176</v>
      </c>
      <c r="K364" s="12" t="s">
        <v>14</v>
      </c>
      <c r="L364" s="17">
        <f t="shared" si="54"/>
        <v>32</v>
      </c>
      <c r="M364" s="22">
        <v>1</v>
      </c>
      <c r="N364" s="79">
        <f>IF(K364="NV","",IF(VLOOKUP(M364,'R_Häufigkeit_Faktoren UHR'!$B$4:$I$24,7,FALSE)=0,"",VLOOKUP(M364,'R_Häufigkeit_Faktoren UHR'!$B$4:$I$24,7,FALSE)))</f>
        <v>4.3452380952380958</v>
      </c>
      <c r="O364" s="3">
        <f t="shared" si="58"/>
        <v>139.04761904761907</v>
      </c>
      <c r="P364" s="325"/>
      <c r="Q364" s="156">
        <f>IF(N364="","",VLOOKUP(J364,Raumgruppen_Leistungswerte!$B$5:$F$35,5,FALSE))</f>
        <v>0</v>
      </c>
      <c r="R364" s="157" t="e">
        <f t="shared" si="59"/>
        <v>#DIV/0!</v>
      </c>
      <c r="S364" s="445" t="e">
        <f t="shared" si="60"/>
        <v>#DIV/0!</v>
      </c>
      <c r="T364" s="78" t="str">
        <f>IF(K364="NV","",IF(VLOOKUP(M364,'R_Häufigkeit_Faktoren UHR'!$B$4:$I$24,8,FALSE)=0,"",VLOOKUP(M364,'R_Häufigkeit_Faktoren UHR'!$B$4:$I$24,8,FALSE)))</f>
        <v/>
      </c>
      <c r="U364" s="156" t="str">
        <f t="shared" si="61"/>
        <v/>
      </c>
      <c r="V364" s="427"/>
      <c r="W364" s="12" t="str">
        <f>IF(T364="","",VLOOKUP(J364,Raumgruppen_Leistungswerte!$B$5:$F$35,5,FALSE))</f>
        <v/>
      </c>
      <c r="X364" s="156" t="str">
        <f t="shared" si="62"/>
        <v/>
      </c>
      <c r="Y364" s="446" t="str">
        <f t="shared" si="63"/>
        <v/>
      </c>
      <c r="Z364" s="158">
        <f t="shared" si="55"/>
        <v>139.04761904761907</v>
      </c>
      <c r="AA364" s="23" t="e">
        <f t="shared" si="56"/>
        <v>#DIV/0!</v>
      </c>
      <c r="AB364" s="445" t="e">
        <f t="shared" si="57"/>
        <v>#DIV/0!</v>
      </c>
      <c r="AC364" s="123"/>
    </row>
    <row r="365" spans="1:29" ht="12" customHeight="1">
      <c r="A365" s="11">
        <v>361</v>
      </c>
      <c r="B365" s="12" t="s">
        <v>495</v>
      </c>
      <c r="C365" s="17">
        <v>3</v>
      </c>
      <c r="D365" s="19" t="s">
        <v>416</v>
      </c>
      <c r="E365" s="17">
        <v>4</v>
      </c>
      <c r="F365" s="18" t="s">
        <v>524</v>
      </c>
      <c r="G365" s="4">
        <v>7.1</v>
      </c>
      <c r="H365" s="19" t="s">
        <v>418</v>
      </c>
      <c r="I365" s="14" t="s">
        <v>383</v>
      </c>
      <c r="J365" s="21" t="s">
        <v>121</v>
      </c>
      <c r="K365" s="12" t="s">
        <v>173</v>
      </c>
      <c r="L365" s="4" t="str">
        <f t="shared" si="54"/>
        <v/>
      </c>
      <c r="M365" s="22"/>
      <c r="N365" s="79" t="str">
        <f>IF(K365="NV","",IF(VLOOKUP(M365,'R_Häufigkeit_Faktoren UHR'!$B$4:$I$24,7,FALSE)=0,"",VLOOKUP(M365,'R_Häufigkeit_Faktoren UHR'!$B$4:$I$24,7,FALSE)))</f>
        <v/>
      </c>
      <c r="O365" s="3" t="str">
        <f t="shared" si="58"/>
        <v/>
      </c>
      <c r="P365" s="325"/>
      <c r="Q365" s="156" t="str">
        <f>IF(N365="","",VLOOKUP(J365,Raumgruppen_Leistungswerte!$B$5:$F$35,5,FALSE))</f>
        <v/>
      </c>
      <c r="R365" s="157" t="str">
        <f t="shared" si="59"/>
        <v/>
      </c>
      <c r="S365" s="445" t="str">
        <f t="shared" si="60"/>
        <v/>
      </c>
      <c r="T365" s="78" t="str">
        <f>IF(K365="NV","",IF(VLOOKUP(M365,'R_Häufigkeit_Faktoren UHR'!$B$4:$I$24,8,FALSE)=0,"",VLOOKUP(M365,'R_Häufigkeit_Faktoren UHR'!$B$4:$I$24,8,FALSE)))</f>
        <v/>
      </c>
      <c r="U365" s="156" t="str">
        <f t="shared" si="61"/>
        <v/>
      </c>
      <c r="V365" s="427"/>
      <c r="W365" s="12" t="str">
        <f>IF(T365="","",VLOOKUP(J365,Raumgruppen_Leistungswerte!$B$5:$F$35,5,FALSE))</f>
        <v/>
      </c>
      <c r="X365" s="156" t="str">
        <f t="shared" si="62"/>
        <v/>
      </c>
      <c r="Y365" s="446" t="str">
        <f t="shared" si="63"/>
        <v/>
      </c>
      <c r="Z365" s="158" t="str">
        <f t="shared" si="55"/>
        <v/>
      </c>
      <c r="AA365" s="23" t="str">
        <f t="shared" si="56"/>
        <v/>
      </c>
      <c r="AB365" s="445" t="str">
        <f t="shared" si="57"/>
        <v/>
      </c>
      <c r="AC365" s="123"/>
    </row>
    <row r="366" spans="1:29" ht="12" customHeight="1">
      <c r="A366" s="11">
        <v>362</v>
      </c>
      <c r="B366" s="12" t="s">
        <v>495</v>
      </c>
      <c r="C366" s="17">
        <v>3</v>
      </c>
      <c r="D366" s="19" t="s">
        <v>416</v>
      </c>
      <c r="E366" s="17">
        <v>4</v>
      </c>
      <c r="F366" s="18" t="s">
        <v>558</v>
      </c>
      <c r="G366" s="4">
        <v>21</v>
      </c>
      <c r="H366" s="19" t="s">
        <v>418</v>
      </c>
      <c r="I366" s="14" t="s">
        <v>383</v>
      </c>
      <c r="J366" s="21" t="s">
        <v>121</v>
      </c>
      <c r="K366" s="12" t="s">
        <v>173</v>
      </c>
      <c r="L366" s="4" t="str">
        <f t="shared" si="54"/>
        <v/>
      </c>
      <c r="M366" s="22"/>
      <c r="N366" s="79" t="str">
        <f>IF(K366="NV","",IF(VLOOKUP(M366,'R_Häufigkeit_Faktoren UHR'!$B$4:$I$24,7,FALSE)=0,"",VLOOKUP(M366,'R_Häufigkeit_Faktoren UHR'!$B$4:$I$24,7,FALSE)))</f>
        <v/>
      </c>
      <c r="O366" s="3" t="str">
        <f t="shared" si="58"/>
        <v/>
      </c>
      <c r="P366" s="325"/>
      <c r="Q366" s="156" t="str">
        <f>IF(N366="","",VLOOKUP(J366,Raumgruppen_Leistungswerte!$B$5:$F$35,5,FALSE))</f>
        <v/>
      </c>
      <c r="R366" s="157" t="str">
        <f t="shared" si="59"/>
        <v/>
      </c>
      <c r="S366" s="445" t="str">
        <f t="shared" si="60"/>
        <v/>
      </c>
      <c r="T366" s="78" t="str">
        <f>IF(K366="NV","",IF(VLOOKUP(M366,'R_Häufigkeit_Faktoren UHR'!$B$4:$I$24,8,FALSE)=0,"",VLOOKUP(M366,'R_Häufigkeit_Faktoren UHR'!$B$4:$I$24,8,FALSE)))</f>
        <v/>
      </c>
      <c r="U366" s="156" t="str">
        <f t="shared" si="61"/>
        <v/>
      </c>
      <c r="V366" s="427"/>
      <c r="W366" s="12" t="str">
        <f>IF(T366="","",VLOOKUP(J366,Raumgruppen_Leistungswerte!$B$5:$F$35,5,FALSE))</f>
        <v/>
      </c>
      <c r="X366" s="156" t="str">
        <f t="shared" si="62"/>
        <v/>
      </c>
      <c r="Y366" s="446" t="str">
        <f t="shared" si="63"/>
        <v/>
      </c>
      <c r="Z366" s="158" t="str">
        <f t="shared" si="55"/>
        <v/>
      </c>
      <c r="AA366" s="23" t="str">
        <f t="shared" si="56"/>
        <v/>
      </c>
      <c r="AB366" s="445" t="str">
        <f t="shared" si="57"/>
        <v/>
      </c>
      <c r="AC366" s="123"/>
    </row>
    <row r="367" spans="1:29" ht="12" customHeight="1">
      <c r="A367" s="11">
        <v>363</v>
      </c>
      <c r="B367" s="12" t="s">
        <v>495</v>
      </c>
      <c r="C367" s="17">
        <v>3</v>
      </c>
      <c r="D367" s="19" t="s">
        <v>272</v>
      </c>
      <c r="E367" s="17">
        <v>4</v>
      </c>
      <c r="F367" s="18" t="s">
        <v>622</v>
      </c>
      <c r="G367" s="4">
        <v>41.3</v>
      </c>
      <c r="H367" s="19" t="s">
        <v>365</v>
      </c>
      <c r="I367" s="14" t="s">
        <v>335</v>
      </c>
      <c r="J367" s="21" t="s">
        <v>240</v>
      </c>
      <c r="K367" s="12" t="s">
        <v>14</v>
      </c>
      <c r="L367" s="17">
        <f t="shared" si="54"/>
        <v>41.3</v>
      </c>
      <c r="M367" s="22">
        <v>3</v>
      </c>
      <c r="N367" s="79">
        <f>IF(K367="NV","",IF(VLOOKUP(M367,'R_Häufigkeit_Faktoren UHR'!$B$4:$I$24,7,FALSE)=0,"",VLOOKUP(M367,'R_Häufigkeit_Faktoren UHR'!$B$4:$I$24,7,FALSE)))</f>
        <v>13.035714285714286</v>
      </c>
      <c r="O367" s="3">
        <f t="shared" si="58"/>
        <v>538.375</v>
      </c>
      <c r="P367" s="325"/>
      <c r="Q367" s="156">
        <f>IF(N367="","",VLOOKUP(J367,Raumgruppen_Leistungswerte!$B$5:$F$35,5,FALSE))</f>
        <v>0</v>
      </c>
      <c r="R367" s="157" t="e">
        <f t="shared" si="59"/>
        <v>#DIV/0!</v>
      </c>
      <c r="S367" s="445" t="e">
        <f t="shared" si="60"/>
        <v>#DIV/0!</v>
      </c>
      <c r="T367" s="78" t="str">
        <f>IF(K367="NV","",IF(VLOOKUP(M367,'R_Häufigkeit_Faktoren UHR'!$B$4:$I$24,8,FALSE)=0,"",VLOOKUP(M367,'R_Häufigkeit_Faktoren UHR'!$B$4:$I$24,8,FALSE)))</f>
        <v/>
      </c>
      <c r="U367" s="156" t="str">
        <f t="shared" si="61"/>
        <v/>
      </c>
      <c r="V367" s="427"/>
      <c r="W367" s="12" t="str">
        <f>IF(T367="","",VLOOKUP(J367,Raumgruppen_Leistungswerte!$B$5:$F$35,5,FALSE))</f>
        <v/>
      </c>
      <c r="X367" s="156" t="str">
        <f t="shared" si="62"/>
        <v/>
      </c>
      <c r="Y367" s="446" t="str">
        <f t="shared" si="63"/>
        <v/>
      </c>
      <c r="Z367" s="158">
        <f t="shared" si="55"/>
        <v>538.375</v>
      </c>
      <c r="AA367" s="23" t="e">
        <f t="shared" si="56"/>
        <v>#DIV/0!</v>
      </c>
      <c r="AB367" s="445" t="e">
        <f t="shared" si="57"/>
        <v>#DIV/0!</v>
      </c>
      <c r="AC367" s="123"/>
    </row>
    <row r="368" spans="1:29" ht="12" customHeight="1">
      <c r="A368" s="11">
        <v>364</v>
      </c>
      <c r="B368" s="12" t="s">
        <v>495</v>
      </c>
      <c r="C368" s="17">
        <v>3</v>
      </c>
      <c r="D368" s="19" t="s">
        <v>611</v>
      </c>
      <c r="E368" s="17">
        <v>5</v>
      </c>
      <c r="F368" s="18" t="s">
        <v>531</v>
      </c>
      <c r="G368" s="4">
        <v>69.099999999999994</v>
      </c>
      <c r="H368" s="19" t="s">
        <v>320</v>
      </c>
      <c r="I368" s="20" t="s">
        <v>383</v>
      </c>
      <c r="J368" s="21" t="s">
        <v>238</v>
      </c>
      <c r="K368" s="12" t="s">
        <v>14</v>
      </c>
      <c r="L368" s="17">
        <f t="shared" si="54"/>
        <v>69.099999999999994</v>
      </c>
      <c r="M368" s="22">
        <v>5</v>
      </c>
      <c r="N368" s="79">
        <f>IF(K368="NV","",IF(VLOOKUP(M368,'R_Häufigkeit_Faktoren UHR'!$B$4:$I$24,7,FALSE)=0,"",VLOOKUP(M368,'R_Häufigkeit_Faktoren UHR'!$B$4:$I$24,7,FALSE)))</f>
        <v>20.917857142857144</v>
      </c>
      <c r="O368" s="3">
        <f t="shared" si="58"/>
        <v>1445.4239285714286</v>
      </c>
      <c r="P368" s="325"/>
      <c r="Q368" s="156">
        <f>IF(N368="","",VLOOKUP(J368,Raumgruppen_Leistungswerte!$B$5:$F$35,5,FALSE))</f>
        <v>0</v>
      </c>
      <c r="R368" s="157" t="e">
        <f t="shared" si="59"/>
        <v>#DIV/0!</v>
      </c>
      <c r="S368" s="445" t="e">
        <f t="shared" si="60"/>
        <v>#DIV/0!</v>
      </c>
      <c r="T368" s="78" t="str">
        <f>IF(K368="NV","",IF(VLOOKUP(M368,'R_Häufigkeit_Faktoren UHR'!$B$4:$I$24,8,FALSE)=0,"",VLOOKUP(M368,'R_Häufigkeit_Faktoren UHR'!$B$4:$I$24,8,FALSE)))</f>
        <v/>
      </c>
      <c r="U368" s="156" t="str">
        <f t="shared" si="61"/>
        <v/>
      </c>
      <c r="V368" s="427"/>
      <c r="W368" s="12" t="str">
        <f>IF(T368="","",VLOOKUP(J368,Raumgruppen_Leistungswerte!$B$5:$F$35,5,FALSE))</f>
        <v/>
      </c>
      <c r="X368" s="156" t="str">
        <f t="shared" si="62"/>
        <v/>
      </c>
      <c r="Y368" s="446" t="str">
        <f t="shared" si="63"/>
        <v/>
      </c>
      <c r="Z368" s="158">
        <f t="shared" si="55"/>
        <v>1445.4239285714286</v>
      </c>
      <c r="AA368" s="23" t="e">
        <f t="shared" si="56"/>
        <v>#DIV/0!</v>
      </c>
      <c r="AB368" s="445" t="e">
        <f t="shared" si="57"/>
        <v>#DIV/0!</v>
      </c>
      <c r="AC368" s="123"/>
    </row>
    <row r="369" spans="1:29" ht="12" customHeight="1">
      <c r="A369" s="11">
        <v>365</v>
      </c>
      <c r="B369" s="12" t="s">
        <v>495</v>
      </c>
      <c r="C369" s="17">
        <v>3</v>
      </c>
      <c r="D369" s="19" t="s">
        <v>611</v>
      </c>
      <c r="E369" s="17">
        <v>5</v>
      </c>
      <c r="F369" s="18" t="s">
        <v>623</v>
      </c>
      <c r="G369" s="4">
        <v>29.2</v>
      </c>
      <c r="H369" s="19" t="s">
        <v>537</v>
      </c>
      <c r="I369" s="20" t="s">
        <v>383</v>
      </c>
      <c r="J369" s="21" t="s">
        <v>219</v>
      </c>
      <c r="K369" s="12" t="s">
        <v>14</v>
      </c>
      <c r="L369" s="17">
        <f t="shared" si="54"/>
        <v>29.2</v>
      </c>
      <c r="M369" s="22">
        <v>5</v>
      </c>
      <c r="N369" s="79">
        <f>IF(K369="NV","",IF(VLOOKUP(M369,'R_Häufigkeit_Faktoren UHR'!$B$4:$I$24,7,FALSE)=0,"",VLOOKUP(M369,'R_Häufigkeit_Faktoren UHR'!$B$4:$I$24,7,FALSE)))</f>
        <v>20.917857142857144</v>
      </c>
      <c r="O369" s="3">
        <f t="shared" si="58"/>
        <v>610.80142857142857</v>
      </c>
      <c r="P369" s="325"/>
      <c r="Q369" s="156">
        <f>IF(N369="","",VLOOKUP(J369,Raumgruppen_Leistungswerte!$B$5:$F$35,5,FALSE))</f>
        <v>0</v>
      </c>
      <c r="R369" s="157" t="e">
        <f t="shared" si="59"/>
        <v>#DIV/0!</v>
      </c>
      <c r="S369" s="445" t="e">
        <f t="shared" si="60"/>
        <v>#DIV/0!</v>
      </c>
      <c r="T369" s="78" t="str">
        <f>IF(K369="NV","",IF(VLOOKUP(M369,'R_Häufigkeit_Faktoren UHR'!$B$4:$I$24,8,FALSE)=0,"",VLOOKUP(M369,'R_Häufigkeit_Faktoren UHR'!$B$4:$I$24,8,FALSE)))</f>
        <v/>
      </c>
      <c r="U369" s="156" t="str">
        <f t="shared" si="61"/>
        <v/>
      </c>
      <c r="V369" s="427"/>
      <c r="W369" s="12" t="str">
        <f>IF(T369="","",VLOOKUP(J369,Raumgruppen_Leistungswerte!$B$5:$F$35,5,FALSE))</f>
        <v/>
      </c>
      <c r="X369" s="156" t="str">
        <f t="shared" si="62"/>
        <v/>
      </c>
      <c r="Y369" s="446" t="str">
        <f t="shared" si="63"/>
        <v/>
      </c>
      <c r="Z369" s="158">
        <f t="shared" si="55"/>
        <v>610.80142857142857</v>
      </c>
      <c r="AA369" s="23" t="e">
        <f t="shared" si="56"/>
        <v>#DIV/0!</v>
      </c>
      <c r="AB369" s="445" t="e">
        <f t="shared" si="57"/>
        <v>#DIV/0!</v>
      </c>
      <c r="AC369" s="123"/>
    </row>
    <row r="370" spans="1:29" ht="12" customHeight="1">
      <c r="A370" s="11">
        <v>366</v>
      </c>
      <c r="B370" s="12" t="s">
        <v>495</v>
      </c>
      <c r="C370" s="17">
        <v>3</v>
      </c>
      <c r="D370" s="19" t="s">
        <v>611</v>
      </c>
      <c r="E370" s="17">
        <v>5</v>
      </c>
      <c r="F370" s="18" t="s">
        <v>624</v>
      </c>
      <c r="G370" s="4">
        <v>60.6</v>
      </c>
      <c r="H370" s="19" t="s">
        <v>513</v>
      </c>
      <c r="I370" s="20" t="s">
        <v>383</v>
      </c>
      <c r="J370" s="21" t="s">
        <v>219</v>
      </c>
      <c r="K370" s="12" t="s">
        <v>14</v>
      </c>
      <c r="L370" s="18">
        <f t="shared" si="54"/>
        <v>60.6</v>
      </c>
      <c r="M370" s="22">
        <v>5</v>
      </c>
      <c r="N370" s="79">
        <f>IF(K370="NV","",IF(VLOOKUP(M370,'R_Häufigkeit_Faktoren UHR'!$B$4:$I$24,7,FALSE)=0,"",VLOOKUP(M370,'R_Häufigkeit_Faktoren UHR'!$B$4:$I$24,7,FALSE)))</f>
        <v>20.917857142857144</v>
      </c>
      <c r="O370" s="3">
        <f t="shared" si="58"/>
        <v>1267.622142857143</v>
      </c>
      <c r="P370" s="325"/>
      <c r="Q370" s="156">
        <f>IF(N370="","",VLOOKUP(J370,Raumgruppen_Leistungswerte!$B$5:$F$35,5,FALSE))</f>
        <v>0</v>
      </c>
      <c r="R370" s="157" t="e">
        <f t="shared" si="59"/>
        <v>#DIV/0!</v>
      </c>
      <c r="S370" s="445" t="e">
        <f t="shared" si="60"/>
        <v>#DIV/0!</v>
      </c>
      <c r="T370" s="78" t="str">
        <f>IF(K370="NV","",IF(VLOOKUP(M370,'R_Häufigkeit_Faktoren UHR'!$B$4:$I$24,8,FALSE)=0,"",VLOOKUP(M370,'R_Häufigkeit_Faktoren UHR'!$B$4:$I$24,8,FALSE)))</f>
        <v/>
      </c>
      <c r="U370" s="156" t="str">
        <f t="shared" si="61"/>
        <v/>
      </c>
      <c r="V370" s="427"/>
      <c r="W370" s="12" t="str">
        <f>IF(T370="","",VLOOKUP(J370,Raumgruppen_Leistungswerte!$B$5:$F$35,5,FALSE))</f>
        <v/>
      </c>
      <c r="X370" s="156" t="str">
        <f t="shared" si="62"/>
        <v/>
      </c>
      <c r="Y370" s="446" t="str">
        <f t="shared" si="63"/>
        <v/>
      </c>
      <c r="Z370" s="158">
        <f t="shared" si="55"/>
        <v>1267.622142857143</v>
      </c>
      <c r="AA370" s="23" t="e">
        <f t="shared" si="56"/>
        <v>#DIV/0!</v>
      </c>
      <c r="AB370" s="445" t="e">
        <f t="shared" si="57"/>
        <v>#DIV/0!</v>
      </c>
      <c r="AC370" s="123"/>
    </row>
    <row r="371" spans="1:29" ht="12" customHeight="1">
      <c r="A371" s="11">
        <v>367</v>
      </c>
      <c r="B371" s="12" t="s">
        <v>495</v>
      </c>
      <c r="C371" s="17">
        <v>3</v>
      </c>
      <c r="D371" s="19" t="s">
        <v>611</v>
      </c>
      <c r="E371" s="17">
        <v>5</v>
      </c>
      <c r="F371" s="18" t="s">
        <v>625</v>
      </c>
      <c r="G371" s="4">
        <v>60.7</v>
      </c>
      <c r="H371" s="19" t="s">
        <v>513</v>
      </c>
      <c r="I371" s="20" t="s">
        <v>383</v>
      </c>
      <c r="J371" s="21" t="s">
        <v>219</v>
      </c>
      <c r="K371" s="12" t="s">
        <v>14</v>
      </c>
      <c r="L371" s="18">
        <f t="shared" si="54"/>
        <v>60.7</v>
      </c>
      <c r="M371" s="22">
        <v>5</v>
      </c>
      <c r="N371" s="79">
        <f>IF(K371="NV","",IF(VLOOKUP(M371,'R_Häufigkeit_Faktoren UHR'!$B$4:$I$24,7,FALSE)=0,"",VLOOKUP(M371,'R_Häufigkeit_Faktoren UHR'!$B$4:$I$24,7,FALSE)))</f>
        <v>20.917857142857144</v>
      </c>
      <c r="O371" s="3">
        <f t="shared" si="58"/>
        <v>1269.7139285714288</v>
      </c>
      <c r="P371" s="325"/>
      <c r="Q371" s="156">
        <f>IF(N371="","",VLOOKUP(J371,Raumgruppen_Leistungswerte!$B$5:$F$35,5,FALSE))</f>
        <v>0</v>
      </c>
      <c r="R371" s="157" t="e">
        <f t="shared" si="59"/>
        <v>#DIV/0!</v>
      </c>
      <c r="S371" s="445" t="e">
        <f t="shared" si="60"/>
        <v>#DIV/0!</v>
      </c>
      <c r="T371" s="78" t="str">
        <f>IF(K371="NV","",IF(VLOOKUP(M371,'R_Häufigkeit_Faktoren UHR'!$B$4:$I$24,8,FALSE)=0,"",VLOOKUP(M371,'R_Häufigkeit_Faktoren UHR'!$B$4:$I$24,8,FALSE)))</f>
        <v/>
      </c>
      <c r="U371" s="156" t="str">
        <f t="shared" si="61"/>
        <v/>
      </c>
      <c r="V371" s="427"/>
      <c r="W371" s="12" t="str">
        <f>IF(T371="","",VLOOKUP(J371,Raumgruppen_Leistungswerte!$B$5:$F$35,5,FALSE))</f>
        <v/>
      </c>
      <c r="X371" s="156" t="str">
        <f t="shared" si="62"/>
        <v/>
      </c>
      <c r="Y371" s="446" t="str">
        <f t="shared" si="63"/>
        <v/>
      </c>
      <c r="Z371" s="158">
        <f t="shared" si="55"/>
        <v>1269.7139285714288</v>
      </c>
      <c r="AA371" s="23" t="e">
        <f t="shared" si="56"/>
        <v>#DIV/0!</v>
      </c>
      <c r="AB371" s="445" t="e">
        <f t="shared" si="57"/>
        <v>#DIV/0!</v>
      </c>
      <c r="AC371" s="123"/>
    </row>
    <row r="372" spans="1:29" ht="12" customHeight="1">
      <c r="A372" s="11">
        <v>368</v>
      </c>
      <c r="B372" s="12" t="s">
        <v>495</v>
      </c>
      <c r="C372" s="17">
        <v>3</v>
      </c>
      <c r="D372" s="19" t="s">
        <v>611</v>
      </c>
      <c r="E372" s="17">
        <v>5</v>
      </c>
      <c r="F372" s="18" t="s">
        <v>549</v>
      </c>
      <c r="G372" s="4">
        <v>12.8</v>
      </c>
      <c r="H372" s="19" t="s">
        <v>322</v>
      </c>
      <c r="I372" s="20" t="s">
        <v>383</v>
      </c>
      <c r="J372" s="21" t="s">
        <v>121</v>
      </c>
      <c r="K372" s="12" t="s">
        <v>14</v>
      </c>
      <c r="L372" s="4">
        <f t="shared" si="54"/>
        <v>12.8</v>
      </c>
      <c r="M372" s="22">
        <v>1</v>
      </c>
      <c r="N372" s="79">
        <f>IF(K372="NV","",IF(VLOOKUP(M372,'R_Häufigkeit_Faktoren UHR'!$B$4:$I$24,7,FALSE)=0,"",VLOOKUP(M372,'R_Häufigkeit_Faktoren UHR'!$B$4:$I$24,7,FALSE)))</f>
        <v>4.3452380952380958</v>
      </c>
      <c r="O372" s="3">
        <f t="shared" si="58"/>
        <v>55.619047619047628</v>
      </c>
      <c r="P372" s="325"/>
      <c r="Q372" s="156">
        <f>IF(N372="","",VLOOKUP(J372,Raumgruppen_Leistungswerte!$B$5:$F$35,5,FALSE))</f>
        <v>0</v>
      </c>
      <c r="R372" s="157" t="e">
        <f t="shared" si="59"/>
        <v>#DIV/0!</v>
      </c>
      <c r="S372" s="445" t="e">
        <f t="shared" si="60"/>
        <v>#DIV/0!</v>
      </c>
      <c r="T372" s="78" t="str">
        <f>IF(K372="NV","",IF(VLOOKUP(M372,'R_Häufigkeit_Faktoren UHR'!$B$4:$I$24,8,FALSE)=0,"",VLOOKUP(M372,'R_Häufigkeit_Faktoren UHR'!$B$4:$I$24,8,FALSE)))</f>
        <v/>
      </c>
      <c r="U372" s="156" t="str">
        <f t="shared" si="61"/>
        <v/>
      </c>
      <c r="V372" s="427"/>
      <c r="W372" s="12" t="str">
        <f>IF(T372="","",VLOOKUP(J372,Raumgruppen_Leistungswerte!$B$5:$F$35,5,FALSE))</f>
        <v/>
      </c>
      <c r="X372" s="156" t="str">
        <f t="shared" si="62"/>
        <v/>
      </c>
      <c r="Y372" s="446" t="str">
        <f t="shared" si="63"/>
        <v/>
      </c>
      <c r="Z372" s="158">
        <f t="shared" si="55"/>
        <v>55.619047619047628</v>
      </c>
      <c r="AA372" s="23" t="e">
        <f t="shared" si="56"/>
        <v>#DIV/0!</v>
      </c>
      <c r="AB372" s="445" t="e">
        <f t="shared" si="57"/>
        <v>#DIV/0!</v>
      </c>
      <c r="AC372" s="123"/>
    </row>
    <row r="373" spans="1:29" ht="12" customHeight="1">
      <c r="A373" s="11">
        <v>369</v>
      </c>
      <c r="B373" s="12" t="s">
        <v>495</v>
      </c>
      <c r="C373" s="17">
        <v>3</v>
      </c>
      <c r="D373" s="19" t="s">
        <v>611</v>
      </c>
      <c r="E373" s="17">
        <v>5</v>
      </c>
      <c r="F373" s="18" t="s">
        <v>533</v>
      </c>
      <c r="G373" s="4">
        <v>13.9</v>
      </c>
      <c r="H373" s="19" t="s">
        <v>385</v>
      </c>
      <c r="I373" s="20" t="s">
        <v>406</v>
      </c>
      <c r="J373" s="21" t="s">
        <v>1</v>
      </c>
      <c r="K373" s="12" t="s">
        <v>14</v>
      </c>
      <c r="L373" s="17">
        <f t="shared" si="54"/>
        <v>13.9</v>
      </c>
      <c r="M373" s="22">
        <v>5</v>
      </c>
      <c r="N373" s="79">
        <f>IF(K373="NV","",IF(VLOOKUP(M373,'R_Häufigkeit_Faktoren UHR'!$B$4:$I$24,7,FALSE)=0,"",VLOOKUP(M373,'R_Häufigkeit_Faktoren UHR'!$B$4:$I$24,7,FALSE)))</f>
        <v>20.917857142857144</v>
      </c>
      <c r="O373" s="3">
        <f t="shared" si="58"/>
        <v>290.7582142857143</v>
      </c>
      <c r="P373" s="325"/>
      <c r="Q373" s="156">
        <f>IF(N373="","",VLOOKUP(J373,Raumgruppen_Leistungswerte!$B$5:$F$35,5,FALSE))</f>
        <v>0</v>
      </c>
      <c r="R373" s="157" t="e">
        <f t="shared" si="59"/>
        <v>#DIV/0!</v>
      </c>
      <c r="S373" s="445" t="e">
        <f t="shared" si="60"/>
        <v>#DIV/0!</v>
      </c>
      <c r="T373" s="78" t="str">
        <f>IF(K373="NV","",IF(VLOOKUP(M373,'R_Häufigkeit_Faktoren UHR'!$B$4:$I$24,8,FALSE)=0,"",VLOOKUP(M373,'R_Häufigkeit_Faktoren UHR'!$B$4:$I$24,8,FALSE)))</f>
        <v/>
      </c>
      <c r="U373" s="156" t="str">
        <f t="shared" si="61"/>
        <v/>
      </c>
      <c r="V373" s="427"/>
      <c r="W373" s="12" t="str">
        <f>IF(T373="","",VLOOKUP(J373,Raumgruppen_Leistungswerte!$B$5:$F$35,5,FALSE))</f>
        <v/>
      </c>
      <c r="X373" s="156" t="str">
        <f t="shared" si="62"/>
        <v/>
      </c>
      <c r="Y373" s="446" t="str">
        <f t="shared" si="63"/>
        <v/>
      </c>
      <c r="Z373" s="158">
        <f t="shared" si="55"/>
        <v>290.7582142857143</v>
      </c>
      <c r="AA373" s="23" t="e">
        <f t="shared" si="56"/>
        <v>#DIV/0!</v>
      </c>
      <c r="AB373" s="445" t="e">
        <f t="shared" si="57"/>
        <v>#DIV/0!</v>
      </c>
      <c r="AC373" s="123"/>
    </row>
    <row r="374" spans="1:29" ht="12" customHeight="1">
      <c r="A374" s="11">
        <v>370</v>
      </c>
      <c r="B374" s="12" t="s">
        <v>495</v>
      </c>
      <c r="C374" s="17">
        <v>3</v>
      </c>
      <c r="D374" s="19" t="s">
        <v>611</v>
      </c>
      <c r="E374" s="17">
        <v>5</v>
      </c>
      <c r="F374" s="18" t="s">
        <v>534</v>
      </c>
      <c r="G374" s="4">
        <v>6.1</v>
      </c>
      <c r="H374" s="19" t="s">
        <v>425</v>
      </c>
      <c r="I374" s="20" t="s">
        <v>406</v>
      </c>
      <c r="J374" s="21" t="s">
        <v>1</v>
      </c>
      <c r="K374" s="12" t="s">
        <v>14</v>
      </c>
      <c r="L374" s="17">
        <f t="shared" si="54"/>
        <v>6.1</v>
      </c>
      <c r="M374" s="22">
        <v>5</v>
      </c>
      <c r="N374" s="79">
        <f>IF(K374="NV","",IF(VLOOKUP(M374,'R_Häufigkeit_Faktoren UHR'!$B$4:$I$24,7,FALSE)=0,"",VLOOKUP(M374,'R_Häufigkeit_Faktoren UHR'!$B$4:$I$24,7,FALSE)))</f>
        <v>20.917857142857144</v>
      </c>
      <c r="O374" s="3">
        <f t="shared" si="58"/>
        <v>127.59892857142857</v>
      </c>
      <c r="P374" s="325"/>
      <c r="Q374" s="156">
        <f>IF(N374="","",VLOOKUP(J374,Raumgruppen_Leistungswerte!$B$5:$F$35,5,FALSE))</f>
        <v>0</v>
      </c>
      <c r="R374" s="157" t="e">
        <f t="shared" si="59"/>
        <v>#DIV/0!</v>
      </c>
      <c r="S374" s="445" t="e">
        <f t="shared" si="60"/>
        <v>#DIV/0!</v>
      </c>
      <c r="T374" s="78" t="str">
        <f>IF(K374="NV","",IF(VLOOKUP(M374,'R_Häufigkeit_Faktoren UHR'!$B$4:$I$24,8,FALSE)=0,"",VLOOKUP(M374,'R_Häufigkeit_Faktoren UHR'!$B$4:$I$24,8,FALSE)))</f>
        <v/>
      </c>
      <c r="U374" s="156" t="str">
        <f t="shared" si="61"/>
        <v/>
      </c>
      <c r="V374" s="427"/>
      <c r="W374" s="12" t="str">
        <f>IF(T374="","",VLOOKUP(J374,Raumgruppen_Leistungswerte!$B$5:$F$35,5,FALSE))</f>
        <v/>
      </c>
      <c r="X374" s="156" t="str">
        <f t="shared" si="62"/>
        <v/>
      </c>
      <c r="Y374" s="446" t="str">
        <f t="shared" si="63"/>
        <v/>
      </c>
      <c r="Z374" s="158">
        <f t="shared" si="55"/>
        <v>127.59892857142857</v>
      </c>
      <c r="AA374" s="23" t="e">
        <f t="shared" si="56"/>
        <v>#DIV/0!</v>
      </c>
      <c r="AB374" s="445" t="e">
        <f t="shared" si="57"/>
        <v>#DIV/0!</v>
      </c>
      <c r="AC374" s="123"/>
    </row>
    <row r="375" spans="1:29" ht="12" customHeight="1">
      <c r="A375" s="11">
        <v>371</v>
      </c>
      <c r="B375" s="12" t="s">
        <v>495</v>
      </c>
      <c r="C375" s="17">
        <v>3</v>
      </c>
      <c r="D375" s="19" t="s">
        <v>611</v>
      </c>
      <c r="E375" s="17">
        <v>5</v>
      </c>
      <c r="F375" s="18" t="s">
        <v>535</v>
      </c>
      <c r="G375" s="4">
        <v>18.399999999999999</v>
      </c>
      <c r="H375" s="19" t="s">
        <v>387</v>
      </c>
      <c r="I375" s="20" t="s">
        <v>406</v>
      </c>
      <c r="J375" s="21" t="s">
        <v>1</v>
      </c>
      <c r="K375" s="12" t="s">
        <v>14</v>
      </c>
      <c r="L375" s="17">
        <f t="shared" si="54"/>
        <v>18.399999999999999</v>
      </c>
      <c r="M375" s="22">
        <v>5</v>
      </c>
      <c r="N375" s="79">
        <f>IF(K375="NV","",IF(VLOOKUP(M375,'R_Häufigkeit_Faktoren UHR'!$B$4:$I$24,7,FALSE)=0,"",VLOOKUP(M375,'R_Häufigkeit_Faktoren UHR'!$B$4:$I$24,7,FALSE)))</f>
        <v>20.917857142857144</v>
      </c>
      <c r="O375" s="3">
        <f t="shared" si="58"/>
        <v>384.88857142857142</v>
      </c>
      <c r="P375" s="325"/>
      <c r="Q375" s="156">
        <f>IF(N375="","",VLOOKUP(J375,Raumgruppen_Leistungswerte!$B$5:$F$35,5,FALSE))</f>
        <v>0</v>
      </c>
      <c r="R375" s="157" t="e">
        <f t="shared" si="59"/>
        <v>#DIV/0!</v>
      </c>
      <c r="S375" s="445" t="e">
        <f t="shared" si="60"/>
        <v>#DIV/0!</v>
      </c>
      <c r="T375" s="78" t="str">
        <f>IF(K375="NV","",IF(VLOOKUP(M375,'R_Häufigkeit_Faktoren UHR'!$B$4:$I$24,8,FALSE)=0,"",VLOOKUP(M375,'R_Häufigkeit_Faktoren UHR'!$B$4:$I$24,8,FALSE)))</f>
        <v/>
      </c>
      <c r="U375" s="156" t="str">
        <f t="shared" si="61"/>
        <v/>
      </c>
      <c r="V375" s="427"/>
      <c r="W375" s="12" t="str">
        <f>IF(T375="","",VLOOKUP(J375,Raumgruppen_Leistungswerte!$B$5:$F$35,5,FALSE))</f>
        <v/>
      </c>
      <c r="X375" s="156" t="str">
        <f t="shared" si="62"/>
        <v/>
      </c>
      <c r="Y375" s="446" t="str">
        <f t="shared" si="63"/>
        <v/>
      </c>
      <c r="Z375" s="158">
        <f t="shared" si="55"/>
        <v>384.88857142857142</v>
      </c>
      <c r="AA375" s="23" t="e">
        <f t="shared" si="56"/>
        <v>#DIV/0!</v>
      </c>
      <c r="AB375" s="445" t="e">
        <f t="shared" si="57"/>
        <v>#DIV/0!</v>
      </c>
      <c r="AC375" s="123"/>
    </row>
    <row r="376" spans="1:29" ht="12" customHeight="1">
      <c r="A376" s="11">
        <v>372</v>
      </c>
      <c r="B376" s="12" t="s">
        <v>495</v>
      </c>
      <c r="C376" s="17">
        <v>3</v>
      </c>
      <c r="D376" s="19" t="s">
        <v>595</v>
      </c>
      <c r="E376" s="17">
        <v>5</v>
      </c>
      <c r="F376" s="18" t="s">
        <v>501</v>
      </c>
      <c r="G376" s="4">
        <v>2.5</v>
      </c>
      <c r="H376" s="19" t="s">
        <v>408</v>
      </c>
      <c r="I376" s="14" t="s">
        <v>406</v>
      </c>
      <c r="J376" s="21" t="s">
        <v>251</v>
      </c>
      <c r="K376" s="12" t="s">
        <v>14</v>
      </c>
      <c r="L376" s="4">
        <f t="shared" si="54"/>
        <v>2.5</v>
      </c>
      <c r="M376" s="22">
        <v>1</v>
      </c>
      <c r="N376" s="79">
        <f>IF(K376="NV","",IF(VLOOKUP(M376,'R_Häufigkeit_Faktoren UHR'!$B$4:$I$24,7,FALSE)=0,"",VLOOKUP(M376,'R_Häufigkeit_Faktoren UHR'!$B$4:$I$24,7,FALSE)))</f>
        <v>4.3452380952380958</v>
      </c>
      <c r="O376" s="3">
        <f t="shared" si="58"/>
        <v>10.863095238095239</v>
      </c>
      <c r="P376" s="325"/>
      <c r="Q376" s="156">
        <f>IF(N376="","",VLOOKUP(J376,Raumgruppen_Leistungswerte!$B$5:$F$35,5,FALSE))</f>
        <v>0</v>
      </c>
      <c r="R376" s="157" t="e">
        <f t="shared" si="59"/>
        <v>#DIV/0!</v>
      </c>
      <c r="S376" s="445" t="e">
        <f t="shared" si="60"/>
        <v>#DIV/0!</v>
      </c>
      <c r="T376" s="78" t="str">
        <f>IF(K376="NV","",IF(VLOOKUP(M376,'R_Häufigkeit_Faktoren UHR'!$B$4:$I$24,8,FALSE)=0,"",VLOOKUP(M376,'R_Häufigkeit_Faktoren UHR'!$B$4:$I$24,8,FALSE)))</f>
        <v/>
      </c>
      <c r="U376" s="156" t="str">
        <f t="shared" si="61"/>
        <v/>
      </c>
      <c r="V376" s="427"/>
      <c r="W376" s="12" t="str">
        <f>IF(T376="","",VLOOKUP(J376,Raumgruppen_Leistungswerte!$B$5:$F$35,5,FALSE))</f>
        <v/>
      </c>
      <c r="X376" s="156" t="str">
        <f t="shared" si="62"/>
        <v/>
      </c>
      <c r="Y376" s="446" t="str">
        <f t="shared" si="63"/>
        <v/>
      </c>
      <c r="Z376" s="158">
        <f t="shared" si="55"/>
        <v>10.863095238095239</v>
      </c>
      <c r="AA376" s="23" t="e">
        <f t="shared" si="56"/>
        <v>#DIV/0!</v>
      </c>
      <c r="AB376" s="445" t="e">
        <f t="shared" si="57"/>
        <v>#DIV/0!</v>
      </c>
      <c r="AC376" s="123"/>
    </row>
    <row r="377" spans="1:29" ht="12" customHeight="1">
      <c r="A377" s="11">
        <v>373</v>
      </c>
      <c r="B377" s="12" t="s">
        <v>495</v>
      </c>
      <c r="C377" s="17">
        <v>3</v>
      </c>
      <c r="D377" s="19" t="s">
        <v>611</v>
      </c>
      <c r="E377" s="17">
        <v>5</v>
      </c>
      <c r="F377" s="18" t="s">
        <v>626</v>
      </c>
      <c r="G377" s="4">
        <v>17.399999999999999</v>
      </c>
      <c r="H377" s="19" t="s">
        <v>490</v>
      </c>
      <c r="I377" s="20" t="s">
        <v>383</v>
      </c>
      <c r="J377" s="21" t="s">
        <v>245</v>
      </c>
      <c r="K377" s="12" t="s">
        <v>14</v>
      </c>
      <c r="L377" s="4">
        <f t="shared" si="54"/>
        <v>17.399999999999999</v>
      </c>
      <c r="M377" s="22">
        <v>5</v>
      </c>
      <c r="N377" s="79">
        <f>IF(K377="NV","",IF(VLOOKUP(M377,'R_Häufigkeit_Faktoren UHR'!$B$4:$I$24,7,FALSE)=0,"",VLOOKUP(M377,'R_Häufigkeit_Faktoren UHR'!$B$4:$I$24,7,FALSE)))</f>
        <v>20.917857142857144</v>
      </c>
      <c r="O377" s="3">
        <f t="shared" si="58"/>
        <v>363.97071428571428</v>
      </c>
      <c r="P377" s="325"/>
      <c r="Q377" s="156">
        <f>IF(N377="","",VLOOKUP(J377,Raumgruppen_Leistungswerte!$B$5:$F$35,5,FALSE))</f>
        <v>0</v>
      </c>
      <c r="R377" s="157" t="e">
        <f t="shared" si="59"/>
        <v>#DIV/0!</v>
      </c>
      <c r="S377" s="445" t="e">
        <f t="shared" si="60"/>
        <v>#DIV/0!</v>
      </c>
      <c r="T377" s="78" t="str">
        <f>IF(K377="NV","",IF(VLOOKUP(M377,'R_Häufigkeit_Faktoren UHR'!$B$4:$I$24,8,FALSE)=0,"",VLOOKUP(M377,'R_Häufigkeit_Faktoren UHR'!$B$4:$I$24,8,FALSE)))</f>
        <v/>
      </c>
      <c r="U377" s="156" t="str">
        <f t="shared" si="61"/>
        <v/>
      </c>
      <c r="V377" s="427"/>
      <c r="W377" s="12" t="str">
        <f>IF(T377="","",VLOOKUP(J377,Raumgruppen_Leistungswerte!$B$5:$F$35,5,FALSE))</f>
        <v/>
      </c>
      <c r="X377" s="156" t="str">
        <f t="shared" si="62"/>
        <v/>
      </c>
      <c r="Y377" s="446" t="str">
        <f t="shared" si="63"/>
        <v/>
      </c>
      <c r="Z377" s="158">
        <f t="shared" si="55"/>
        <v>363.97071428571428</v>
      </c>
      <c r="AA377" s="23" t="e">
        <f t="shared" si="56"/>
        <v>#DIV/0!</v>
      </c>
      <c r="AB377" s="445" t="e">
        <f t="shared" si="57"/>
        <v>#DIV/0!</v>
      </c>
      <c r="AC377" s="123"/>
    </row>
    <row r="378" spans="1:29" ht="12" customHeight="1">
      <c r="A378" s="11">
        <v>374</v>
      </c>
      <c r="B378" s="12" t="s">
        <v>495</v>
      </c>
      <c r="C378" s="17">
        <v>3</v>
      </c>
      <c r="D378" s="19" t="s">
        <v>611</v>
      </c>
      <c r="E378" s="17">
        <v>5</v>
      </c>
      <c r="F378" s="18" t="s">
        <v>627</v>
      </c>
      <c r="G378" s="4">
        <v>17.7</v>
      </c>
      <c r="H378" s="19" t="s">
        <v>410</v>
      </c>
      <c r="I378" s="20" t="s">
        <v>371</v>
      </c>
      <c r="J378" s="21" t="s">
        <v>176</v>
      </c>
      <c r="K378" s="12" t="s">
        <v>14</v>
      </c>
      <c r="L378" s="17">
        <f t="shared" si="54"/>
        <v>17.7</v>
      </c>
      <c r="M378" s="22">
        <v>1</v>
      </c>
      <c r="N378" s="79">
        <f>IF(K378="NV","",IF(VLOOKUP(M378,'R_Häufigkeit_Faktoren UHR'!$B$4:$I$24,7,FALSE)=0,"",VLOOKUP(M378,'R_Häufigkeit_Faktoren UHR'!$B$4:$I$24,7,FALSE)))</f>
        <v>4.3452380952380958</v>
      </c>
      <c r="O378" s="3">
        <f t="shared" si="58"/>
        <v>76.910714285714292</v>
      </c>
      <c r="P378" s="325"/>
      <c r="Q378" s="156">
        <f>IF(N378="","",VLOOKUP(J378,Raumgruppen_Leistungswerte!$B$5:$F$35,5,FALSE))</f>
        <v>0</v>
      </c>
      <c r="R378" s="157" t="e">
        <f t="shared" si="59"/>
        <v>#DIV/0!</v>
      </c>
      <c r="S378" s="445" t="e">
        <f t="shared" si="60"/>
        <v>#DIV/0!</v>
      </c>
      <c r="T378" s="78" t="str">
        <f>IF(K378="NV","",IF(VLOOKUP(M378,'R_Häufigkeit_Faktoren UHR'!$B$4:$I$24,8,FALSE)=0,"",VLOOKUP(M378,'R_Häufigkeit_Faktoren UHR'!$B$4:$I$24,8,FALSE)))</f>
        <v/>
      </c>
      <c r="U378" s="156" t="str">
        <f t="shared" si="61"/>
        <v/>
      </c>
      <c r="V378" s="427"/>
      <c r="W378" s="12" t="str">
        <f>IF(T378="","",VLOOKUP(J378,Raumgruppen_Leistungswerte!$B$5:$F$35,5,FALSE))</f>
        <v/>
      </c>
      <c r="X378" s="156" t="str">
        <f t="shared" si="62"/>
        <v/>
      </c>
      <c r="Y378" s="446" t="str">
        <f t="shared" si="63"/>
        <v/>
      </c>
      <c r="Z378" s="158">
        <f t="shared" si="55"/>
        <v>76.910714285714292</v>
      </c>
      <c r="AA378" s="23" t="e">
        <f t="shared" si="56"/>
        <v>#DIV/0!</v>
      </c>
      <c r="AB378" s="445" t="e">
        <f t="shared" si="57"/>
        <v>#DIV/0!</v>
      </c>
      <c r="AC378" s="123"/>
    </row>
    <row r="379" spans="1:29" ht="12" customHeight="1">
      <c r="A379" s="11">
        <v>375</v>
      </c>
      <c r="B379" s="12" t="s">
        <v>495</v>
      </c>
      <c r="C379" s="17">
        <v>3</v>
      </c>
      <c r="D379" s="19" t="s">
        <v>611</v>
      </c>
      <c r="E379" s="17">
        <v>5</v>
      </c>
      <c r="F379" s="18" t="s">
        <v>628</v>
      </c>
      <c r="G379" s="4">
        <v>56.7</v>
      </c>
      <c r="H379" s="19" t="s">
        <v>513</v>
      </c>
      <c r="I379" s="20" t="s">
        <v>383</v>
      </c>
      <c r="J379" s="21" t="s">
        <v>219</v>
      </c>
      <c r="K379" s="12" t="s">
        <v>14</v>
      </c>
      <c r="L379" s="18">
        <f t="shared" si="54"/>
        <v>56.7</v>
      </c>
      <c r="M379" s="22">
        <v>5</v>
      </c>
      <c r="N379" s="79">
        <f>IF(K379="NV","",IF(VLOOKUP(M379,'R_Häufigkeit_Faktoren UHR'!$B$4:$I$24,7,FALSE)=0,"",VLOOKUP(M379,'R_Häufigkeit_Faktoren UHR'!$B$4:$I$24,7,FALSE)))</f>
        <v>20.917857142857144</v>
      </c>
      <c r="O379" s="3">
        <f t="shared" si="58"/>
        <v>1186.0425000000002</v>
      </c>
      <c r="P379" s="325"/>
      <c r="Q379" s="156">
        <f>IF(N379="","",VLOOKUP(J379,Raumgruppen_Leistungswerte!$B$5:$F$35,5,FALSE))</f>
        <v>0</v>
      </c>
      <c r="R379" s="157" t="e">
        <f t="shared" si="59"/>
        <v>#DIV/0!</v>
      </c>
      <c r="S379" s="445" t="e">
        <f t="shared" si="60"/>
        <v>#DIV/0!</v>
      </c>
      <c r="T379" s="78" t="str">
        <f>IF(K379="NV","",IF(VLOOKUP(M379,'R_Häufigkeit_Faktoren UHR'!$B$4:$I$24,8,FALSE)=0,"",VLOOKUP(M379,'R_Häufigkeit_Faktoren UHR'!$B$4:$I$24,8,FALSE)))</f>
        <v/>
      </c>
      <c r="U379" s="156" t="str">
        <f t="shared" si="61"/>
        <v/>
      </c>
      <c r="V379" s="427"/>
      <c r="W379" s="12" t="str">
        <f>IF(T379="","",VLOOKUP(J379,Raumgruppen_Leistungswerte!$B$5:$F$35,5,FALSE))</f>
        <v/>
      </c>
      <c r="X379" s="156" t="str">
        <f t="shared" si="62"/>
        <v/>
      </c>
      <c r="Y379" s="446" t="str">
        <f t="shared" si="63"/>
        <v/>
      </c>
      <c r="Z379" s="158">
        <f t="shared" si="55"/>
        <v>1186.0425000000002</v>
      </c>
      <c r="AA379" s="23" t="e">
        <f t="shared" si="56"/>
        <v>#DIV/0!</v>
      </c>
      <c r="AB379" s="445" t="e">
        <f t="shared" si="57"/>
        <v>#DIV/0!</v>
      </c>
      <c r="AC379" s="123"/>
    </row>
    <row r="380" spans="1:29" ht="12" customHeight="1">
      <c r="A380" s="11">
        <v>376</v>
      </c>
      <c r="B380" s="12"/>
      <c r="C380" s="17"/>
      <c r="D380" s="19"/>
      <c r="E380" s="17"/>
      <c r="F380" s="18"/>
      <c r="G380" s="4"/>
      <c r="H380" s="19"/>
      <c r="I380" s="20"/>
      <c r="J380" s="21"/>
      <c r="K380" s="12" t="s">
        <v>173</v>
      </c>
      <c r="L380" s="17" t="str">
        <f t="shared" si="54"/>
        <v/>
      </c>
      <c r="M380" s="22"/>
      <c r="N380" s="79" t="str">
        <f>IF(K380="NV","",IF(VLOOKUP(M380,'R_Häufigkeit_Faktoren UHR'!$B$4:$I$24,7,FALSE)=0,"",VLOOKUP(M380,'R_Häufigkeit_Faktoren UHR'!$B$4:$I$24,7,FALSE)))</f>
        <v/>
      </c>
      <c r="O380" s="3" t="str">
        <f t="shared" si="58"/>
        <v/>
      </c>
      <c r="P380" s="325"/>
      <c r="Q380" s="156" t="str">
        <f>IF(N380="","",VLOOKUP(J380,Raumgruppen_Leistungswerte!$B$5:$F$35,5,FALSE))</f>
        <v/>
      </c>
      <c r="R380" s="157" t="str">
        <f t="shared" si="59"/>
        <v/>
      </c>
      <c r="S380" s="445" t="str">
        <f t="shared" si="60"/>
        <v/>
      </c>
      <c r="T380" s="78" t="str">
        <f>IF(K380="NV","",IF(VLOOKUP(M380,'R_Häufigkeit_Faktoren UHR'!$B$4:$I$24,8,FALSE)=0,"",VLOOKUP(M380,'R_Häufigkeit_Faktoren UHR'!$B$4:$I$24,8,FALSE)))</f>
        <v/>
      </c>
      <c r="U380" s="156" t="str">
        <f t="shared" si="61"/>
        <v/>
      </c>
      <c r="V380" s="427"/>
      <c r="W380" s="12" t="str">
        <f>IF(T380="","",VLOOKUP(J380,Raumgruppen_Leistungswerte!$B$5:$F$35,5,FALSE))</f>
        <v/>
      </c>
      <c r="X380" s="156" t="str">
        <f t="shared" si="62"/>
        <v/>
      </c>
      <c r="Y380" s="446" t="str">
        <f t="shared" si="63"/>
        <v/>
      </c>
      <c r="Z380" s="158" t="str">
        <f t="shared" si="55"/>
        <v/>
      </c>
      <c r="AA380" s="23" t="str">
        <f t="shared" si="56"/>
        <v/>
      </c>
      <c r="AB380" s="445" t="str">
        <f t="shared" si="57"/>
        <v/>
      </c>
      <c r="AC380" s="123"/>
    </row>
    <row r="381" spans="1:29" ht="12" customHeight="1">
      <c r="A381" s="11">
        <v>377</v>
      </c>
      <c r="B381" s="12"/>
      <c r="C381" s="17"/>
      <c r="D381" s="19"/>
      <c r="E381" s="17"/>
      <c r="F381" s="18"/>
      <c r="G381" s="4"/>
      <c r="H381" s="19"/>
      <c r="I381" s="14"/>
      <c r="J381" s="21"/>
      <c r="K381" s="12" t="s">
        <v>173</v>
      </c>
      <c r="L381" s="17" t="str">
        <f t="shared" si="54"/>
        <v/>
      </c>
      <c r="M381" s="22"/>
      <c r="N381" s="79" t="str">
        <f>IF(K381="NV","",IF(VLOOKUP(M381,'R_Häufigkeit_Faktoren UHR'!$B$4:$I$24,7,FALSE)=0,"",VLOOKUP(M381,'R_Häufigkeit_Faktoren UHR'!$B$4:$I$24,7,FALSE)))</f>
        <v/>
      </c>
      <c r="O381" s="3" t="str">
        <f t="shared" si="58"/>
        <v/>
      </c>
      <c r="P381" s="325"/>
      <c r="Q381" s="156" t="str">
        <f>IF(N381="","",VLOOKUP(J381,Raumgruppen_Leistungswerte!$B$5:$F$35,5,FALSE))</f>
        <v/>
      </c>
      <c r="R381" s="157" t="str">
        <f t="shared" si="59"/>
        <v/>
      </c>
      <c r="S381" s="445" t="str">
        <f t="shared" si="60"/>
        <v/>
      </c>
      <c r="T381" s="78" t="str">
        <f>IF(K381="NV","",IF(VLOOKUP(M381,'R_Häufigkeit_Faktoren UHR'!$B$4:$I$24,8,FALSE)=0,"",VLOOKUP(M381,'R_Häufigkeit_Faktoren UHR'!$B$4:$I$24,8,FALSE)))</f>
        <v/>
      </c>
      <c r="U381" s="156" t="str">
        <f t="shared" si="61"/>
        <v/>
      </c>
      <c r="V381" s="427"/>
      <c r="W381" s="12" t="str">
        <f>IF(T381="","",VLOOKUP(J381,Raumgruppen_Leistungswerte!$B$5:$F$35,5,FALSE))</f>
        <v/>
      </c>
      <c r="X381" s="156" t="str">
        <f t="shared" si="62"/>
        <v/>
      </c>
      <c r="Y381" s="446" t="str">
        <f t="shared" si="63"/>
        <v/>
      </c>
      <c r="Z381" s="158" t="str">
        <f t="shared" si="55"/>
        <v/>
      </c>
      <c r="AA381" s="23" t="str">
        <f t="shared" si="56"/>
        <v/>
      </c>
      <c r="AB381" s="445" t="str">
        <f t="shared" si="57"/>
        <v/>
      </c>
      <c r="AC381" s="123"/>
    </row>
    <row r="382" spans="1:29" ht="12" customHeight="1">
      <c r="A382" s="11">
        <v>378</v>
      </c>
      <c r="B382" s="12"/>
      <c r="C382" s="17"/>
      <c r="D382" s="19"/>
      <c r="E382" s="17"/>
      <c r="F382" s="18"/>
      <c r="G382" s="4"/>
      <c r="H382" s="19"/>
      <c r="I382" s="14"/>
      <c r="J382" s="21"/>
      <c r="K382" s="12" t="s">
        <v>173</v>
      </c>
      <c r="L382" s="17" t="str">
        <f t="shared" si="54"/>
        <v/>
      </c>
      <c r="M382" s="22"/>
      <c r="N382" s="79" t="str">
        <f>IF(K382="NV","",IF(VLOOKUP(M382,'R_Häufigkeit_Faktoren UHR'!$B$4:$I$24,7,FALSE)=0,"",VLOOKUP(M382,'R_Häufigkeit_Faktoren UHR'!$B$4:$I$24,7,FALSE)))</f>
        <v/>
      </c>
      <c r="O382" s="3" t="str">
        <f t="shared" si="58"/>
        <v/>
      </c>
      <c r="P382" s="325"/>
      <c r="Q382" s="156" t="str">
        <f>IF(N382="","",VLOOKUP(J382,Raumgruppen_Leistungswerte!$B$5:$F$35,5,FALSE))</f>
        <v/>
      </c>
      <c r="R382" s="157" t="str">
        <f t="shared" si="59"/>
        <v/>
      </c>
      <c r="S382" s="445" t="str">
        <f t="shared" si="60"/>
        <v/>
      </c>
      <c r="T382" s="78" t="str">
        <f>IF(K382="NV","",IF(VLOOKUP(M382,'R_Häufigkeit_Faktoren UHR'!$B$4:$I$24,8,FALSE)=0,"",VLOOKUP(M382,'R_Häufigkeit_Faktoren UHR'!$B$4:$I$24,8,FALSE)))</f>
        <v/>
      </c>
      <c r="U382" s="156" t="str">
        <f t="shared" si="61"/>
        <v/>
      </c>
      <c r="V382" s="427"/>
      <c r="W382" s="12" t="str">
        <f>IF(T382="","",VLOOKUP(J382,Raumgruppen_Leistungswerte!$B$5:$F$35,5,FALSE))</f>
        <v/>
      </c>
      <c r="X382" s="156" t="str">
        <f t="shared" si="62"/>
        <v/>
      </c>
      <c r="Y382" s="446" t="str">
        <f t="shared" si="63"/>
        <v/>
      </c>
      <c r="Z382" s="158" t="str">
        <f t="shared" si="55"/>
        <v/>
      </c>
      <c r="AA382" s="23" t="str">
        <f t="shared" si="56"/>
        <v/>
      </c>
      <c r="AB382" s="445" t="str">
        <f t="shared" si="57"/>
        <v/>
      </c>
      <c r="AC382" s="123"/>
    </row>
    <row r="383" spans="1:29" ht="12" customHeight="1">
      <c r="A383" s="11">
        <v>379</v>
      </c>
      <c r="B383" s="12"/>
      <c r="C383" s="17"/>
      <c r="D383" s="19"/>
      <c r="E383" s="17"/>
      <c r="F383" s="18"/>
      <c r="G383" s="4"/>
      <c r="H383" s="19"/>
      <c r="I383" s="14"/>
      <c r="J383" s="21"/>
      <c r="K383" s="12" t="s">
        <v>173</v>
      </c>
      <c r="L383" s="17" t="str">
        <f t="shared" si="54"/>
        <v/>
      </c>
      <c r="M383" s="22"/>
      <c r="N383" s="79" t="str">
        <f>IF(K383="NV","",IF(VLOOKUP(M383,'R_Häufigkeit_Faktoren UHR'!$B$4:$I$24,7,FALSE)=0,"",VLOOKUP(M383,'R_Häufigkeit_Faktoren UHR'!$B$4:$I$24,7,FALSE)))</f>
        <v/>
      </c>
      <c r="O383" s="3" t="str">
        <f t="shared" si="58"/>
        <v/>
      </c>
      <c r="P383" s="325"/>
      <c r="Q383" s="156" t="str">
        <f>IF(N383="","",VLOOKUP(J383,Raumgruppen_Leistungswerte!$B$5:$F$35,5,FALSE))</f>
        <v/>
      </c>
      <c r="R383" s="157" t="str">
        <f t="shared" si="59"/>
        <v/>
      </c>
      <c r="S383" s="445" t="str">
        <f t="shared" si="60"/>
        <v/>
      </c>
      <c r="T383" s="78" t="str">
        <f>IF(K383="NV","",IF(VLOOKUP(M383,'R_Häufigkeit_Faktoren UHR'!$B$4:$I$24,8,FALSE)=0,"",VLOOKUP(M383,'R_Häufigkeit_Faktoren UHR'!$B$4:$I$24,8,FALSE)))</f>
        <v/>
      </c>
      <c r="U383" s="156" t="str">
        <f t="shared" si="61"/>
        <v/>
      </c>
      <c r="V383" s="427"/>
      <c r="W383" s="12" t="str">
        <f>IF(T383="","",VLOOKUP(J383,Raumgruppen_Leistungswerte!$B$5:$F$35,5,FALSE))</f>
        <v/>
      </c>
      <c r="X383" s="156" t="str">
        <f t="shared" si="62"/>
        <v/>
      </c>
      <c r="Y383" s="446" t="str">
        <f t="shared" si="63"/>
        <v/>
      </c>
      <c r="Z383" s="158" t="str">
        <f t="shared" si="55"/>
        <v/>
      </c>
      <c r="AA383" s="23" t="str">
        <f t="shared" si="56"/>
        <v/>
      </c>
      <c r="AB383" s="445" t="str">
        <f t="shared" si="57"/>
        <v/>
      </c>
      <c r="AC383" s="123"/>
    </row>
    <row r="384" spans="1:29" ht="12" customHeight="1">
      <c r="A384" s="11">
        <v>380</v>
      </c>
      <c r="B384" s="12"/>
      <c r="C384" s="17"/>
      <c r="D384" s="19"/>
      <c r="E384" s="17"/>
      <c r="F384" s="18"/>
      <c r="G384" s="4"/>
      <c r="H384" s="19"/>
      <c r="I384" s="20"/>
      <c r="J384" s="15"/>
      <c r="K384" s="12" t="s">
        <v>173</v>
      </c>
      <c r="L384" s="17" t="str">
        <f t="shared" si="54"/>
        <v/>
      </c>
      <c r="M384" s="22"/>
      <c r="N384" s="79" t="str">
        <f>IF(K384="NV","",IF(VLOOKUP(M384,'R_Häufigkeit_Faktoren UHR'!$B$4:$I$24,7,FALSE)=0,"",VLOOKUP(M384,'R_Häufigkeit_Faktoren UHR'!$B$4:$I$24,7,FALSE)))</f>
        <v/>
      </c>
      <c r="O384" s="3" t="str">
        <f t="shared" si="58"/>
        <v/>
      </c>
      <c r="P384" s="325"/>
      <c r="Q384" s="156" t="str">
        <f>IF(N384="","",VLOOKUP(J384,Raumgruppen_Leistungswerte!$B$5:$F$35,5,FALSE))</f>
        <v/>
      </c>
      <c r="R384" s="157" t="str">
        <f t="shared" si="59"/>
        <v/>
      </c>
      <c r="S384" s="445" t="str">
        <f t="shared" si="60"/>
        <v/>
      </c>
      <c r="T384" s="78" t="str">
        <f>IF(K384="NV","",IF(VLOOKUP(M384,'R_Häufigkeit_Faktoren UHR'!$B$4:$I$24,8,FALSE)=0,"",VLOOKUP(M384,'R_Häufigkeit_Faktoren UHR'!$B$4:$I$24,8,FALSE)))</f>
        <v/>
      </c>
      <c r="U384" s="156" t="str">
        <f t="shared" si="61"/>
        <v/>
      </c>
      <c r="V384" s="427"/>
      <c r="W384" s="12" t="str">
        <f>IF(T384="","",VLOOKUP(J384,Raumgruppen_Leistungswerte!$B$5:$F$35,5,FALSE))</f>
        <v/>
      </c>
      <c r="X384" s="156" t="str">
        <f t="shared" si="62"/>
        <v/>
      </c>
      <c r="Y384" s="446" t="str">
        <f t="shared" si="63"/>
        <v/>
      </c>
      <c r="Z384" s="158" t="str">
        <f t="shared" si="55"/>
        <v/>
      </c>
      <c r="AA384" s="23" t="str">
        <f t="shared" si="56"/>
        <v/>
      </c>
      <c r="AB384" s="445" t="str">
        <f t="shared" si="57"/>
        <v/>
      </c>
      <c r="AC384" s="123"/>
    </row>
    <row r="385" spans="1:29" ht="12" customHeight="1">
      <c r="A385" s="11">
        <v>381</v>
      </c>
      <c r="B385" s="12"/>
      <c r="C385" s="17"/>
      <c r="D385" s="19"/>
      <c r="E385" s="17"/>
      <c r="F385" s="18"/>
      <c r="G385" s="4"/>
      <c r="H385" s="19"/>
      <c r="I385" s="20"/>
      <c r="J385" s="21"/>
      <c r="K385" s="12" t="s">
        <v>173</v>
      </c>
      <c r="L385" s="17" t="str">
        <f t="shared" si="54"/>
        <v/>
      </c>
      <c r="M385" s="22"/>
      <c r="N385" s="79" t="str">
        <f>IF(K385="NV","",IF(VLOOKUP(M385,'R_Häufigkeit_Faktoren UHR'!$B$4:$I$24,7,FALSE)=0,"",VLOOKUP(M385,'R_Häufigkeit_Faktoren UHR'!$B$4:$I$24,7,FALSE)))</f>
        <v/>
      </c>
      <c r="O385" s="3" t="str">
        <f t="shared" si="58"/>
        <v/>
      </c>
      <c r="P385" s="325"/>
      <c r="Q385" s="156" t="str">
        <f>IF(N385="","",VLOOKUP(J385,Raumgruppen_Leistungswerte!$B$5:$F$35,5,FALSE))</f>
        <v/>
      </c>
      <c r="R385" s="157" t="str">
        <f t="shared" si="59"/>
        <v/>
      </c>
      <c r="S385" s="445" t="str">
        <f t="shared" si="60"/>
        <v/>
      </c>
      <c r="T385" s="78" t="str">
        <f>IF(K385="NV","",IF(VLOOKUP(M385,'R_Häufigkeit_Faktoren UHR'!$B$4:$I$24,8,FALSE)=0,"",VLOOKUP(M385,'R_Häufigkeit_Faktoren UHR'!$B$4:$I$24,8,FALSE)))</f>
        <v/>
      </c>
      <c r="U385" s="156" t="str">
        <f t="shared" si="61"/>
        <v/>
      </c>
      <c r="V385" s="427"/>
      <c r="W385" s="12" t="str">
        <f>IF(T385="","",VLOOKUP(J385,Raumgruppen_Leistungswerte!$B$5:$F$35,5,FALSE))</f>
        <v/>
      </c>
      <c r="X385" s="156" t="str">
        <f t="shared" si="62"/>
        <v/>
      </c>
      <c r="Y385" s="446" t="str">
        <f t="shared" si="63"/>
        <v/>
      </c>
      <c r="Z385" s="158" t="str">
        <f t="shared" si="55"/>
        <v/>
      </c>
      <c r="AA385" s="23" t="str">
        <f t="shared" si="56"/>
        <v/>
      </c>
      <c r="AB385" s="445" t="str">
        <f t="shared" si="57"/>
        <v/>
      </c>
      <c r="AC385" s="123"/>
    </row>
    <row r="386" spans="1:29" ht="12" customHeight="1">
      <c r="A386" s="11">
        <v>382</v>
      </c>
      <c r="B386" s="12"/>
      <c r="C386" s="17"/>
      <c r="D386" s="19"/>
      <c r="E386" s="17"/>
      <c r="F386" s="18"/>
      <c r="G386" s="4"/>
      <c r="H386" s="19"/>
      <c r="I386" s="14"/>
      <c r="J386" s="21"/>
      <c r="K386" s="12" t="s">
        <v>173</v>
      </c>
      <c r="L386" s="17" t="str">
        <f t="shared" si="54"/>
        <v/>
      </c>
      <c r="M386" s="22"/>
      <c r="N386" s="79" t="str">
        <f>IF(K386="NV","",IF(VLOOKUP(M386,'R_Häufigkeit_Faktoren UHR'!$B$4:$I$24,7,FALSE)=0,"",VLOOKUP(M386,'R_Häufigkeit_Faktoren UHR'!$B$4:$I$24,7,FALSE)))</f>
        <v/>
      </c>
      <c r="O386" s="3" t="str">
        <f t="shared" si="58"/>
        <v/>
      </c>
      <c r="P386" s="325"/>
      <c r="Q386" s="156" t="str">
        <f>IF(N386="","",VLOOKUP(J386,Raumgruppen_Leistungswerte!$B$5:$F$35,5,FALSE))</f>
        <v/>
      </c>
      <c r="R386" s="157" t="str">
        <f t="shared" si="59"/>
        <v/>
      </c>
      <c r="S386" s="445" t="str">
        <f t="shared" si="60"/>
        <v/>
      </c>
      <c r="T386" s="78" t="str">
        <f>IF(K386="NV","",IF(VLOOKUP(M386,'R_Häufigkeit_Faktoren UHR'!$B$4:$I$24,8,FALSE)=0,"",VLOOKUP(M386,'R_Häufigkeit_Faktoren UHR'!$B$4:$I$24,8,FALSE)))</f>
        <v/>
      </c>
      <c r="U386" s="156" t="str">
        <f t="shared" si="61"/>
        <v/>
      </c>
      <c r="V386" s="427"/>
      <c r="W386" s="12" t="str">
        <f>IF(T386="","",VLOOKUP(J386,Raumgruppen_Leistungswerte!$B$5:$F$35,5,FALSE))</f>
        <v/>
      </c>
      <c r="X386" s="156" t="str">
        <f t="shared" si="62"/>
        <v/>
      </c>
      <c r="Y386" s="446" t="str">
        <f t="shared" si="63"/>
        <v/>
      </c>
      <c r="Z386" s="158" t="str">
        <f t="shared" si="55"/>
        <v/>
      </c>
      <c r="AA386" s="23" t="str">
        <f t="shared" si="56"/>
        <v/>
      </c>
      <c r="AB386" s="445" t="str">
        <f t="shared" si="57"/>
        <v/>
      </c>
      <c r="AC386" s="123"/>
    </row>
    <row r="387" spans="1:29" ht="12" customHeight="1">
      <c r="A387" s="11">
        <v>383</v>
      </c>
      <c r="B387" s="12"/>
      <c r="C387" s="17"/>
      <c r="D387" s="19"/>
      <c r="E387" s="17"/>
      <c r="F387" s="18"/>
      <c r="G387" s="4"/>
      <c r="H387" s="19"/>
      <c r="I387" s="20"/>
      <c r="J387" s="21"/>
      <c r="K387" s="12" t="s">
        <v>173</v>
      </c>
      <c r="L387" s="17" t="str">
        <f t="shared" si="54"/>
        <v/>
      </c>
      <c r="M387" s="22"/>
      <c r="N387" s="79" t="str">
        <f>IF(K387="NV","",IF(VLOOKUP(M387,'R_Häufigkeit_Faktoren UHR'!$B$4:$I$24,7,FALSE)=0,"",VLOOKUP(M387,'R_Häufigkeit_Faktoren UHR'!$B$4:$I$24,7,FALSE)))</f>
        <v/>
      </c>
      <c r="O387" s="3" t="str">
        <f t="shared" si="58"/>
        <v/>
      </c>
      <c r="P387" s="325"/>
      <c r="Q387" s="156" t="str">
        <f>IF(N387="","",VLOOKUP(J387,Raumgruppen_Leistungswerte!$B$5:$F$35,5,FALSE))</f>
        <v/>
      </c>
      <c r="R387" s="157" t="str">
        <f t="shared" si="59"/>
        <v/>
      </c>
      <c r="S387" s="445" t="str">
        <f t="shared" si="60"/>
        <v/>
      </c>
      <c r="T387" s="78" t="str">
        <f>IF(K387="NV","",IF(VLOOKUP(M387,'R_Häufigkeit_Faktoren UHR'!$B$4:$I$24,8,FALSE)=0,"",VLOOKUP(M387,'R_Häufigkeit_Faktoren UHR'!$B$4:$I$24,8,FALSE)))</f>
        <v/>
      </c>
      <c r="U387" s="156" t="str">
        <f t="shared" si="61"/>
        <v/>
      </c>
      <c r="V387" s="427"/>
      <c r="W387" s="12" t="str">
        <f>IF(T387="","",VLOOKUP(J387,Raumgruppen_Leistungswerte!$B$5:$F$35,5,FALSE))</f>
        <v/>
      </c>
      <c r="X387" s="156" t="str">
        <f t="shared" si="62"/>
        <v/>
      </c>
      <c r="Y387" s="446" t="str">
        <f t="shared" si="63"/>
        <v/>
      </c>
      <c r="Z387" s="158" t="str">
        <f t="shared" si="55"/>
        <v/>
      </c>
      <c r="AA387" s="23" t="str">
        <f t="shared" si="56"/>
        <v/>
      </c>
      <c r="AB387" s="445" t="str">
        <f t="shared" si="57"/>
        <v/>
      </c>
      <c r="AC387" s="123"/>
    </row>
    <row r="388" spans="1:29" ht="12" customHeight="1">
      <c r="A388" s="11">
        <v>384</v>
      </c>
      <c r="B388" s="12"/>
      <c r="C388" s="17"/>
      <c r="D388" s="19"/>
      <c r="E388" s="17"/>
      <c r="F388" s="18"/>
      <c r="G388" s="4"/>
      <c r="H388" s="19"/>
      <c r="I388" s="20"/>
      <c r="J388" s="21"/>
      <c r="K388" s="12" t="s">
        <v>173</v>
      </c>
      <c r="L388" s="17" t="str">
        <f t="shared" si="54"/>
        <v/>
      </c>
      <c r="M388" s="22"/>
      <c r="N388" s="79" t="str">
        <f>IF(K388="NV","",IF(VLOOKUP(M388,'R_Häufigkeit_Faktoren UHR'!$B$4:$I$24,7,FALSE)=0,"",VLOOKUP(M388,'R_Häufigkeit_Faktoren UHR'!$B$4:$I$24,7,FALSE)))</f>
        <v/>
      </c>
      <c r="O388" s="3" t="str">
        <f t="shared" si="58"/>
        <v/>
      </c>
      <c r="P388" s="325"/>
      <c r="Q388" s="156" t="str">
        <f>IF(N388="","",VLOOKUP(J388,Raumgruppen_Leistungswerte!$B$5:$F$35,5,FALSE))</f>
        <v/>
      </c>
      <c r="R388" s="157" t="str">
        <f t="shared" si="59"/>
        <v/>
      </c>
      <c r="S388" s="445" t="str">
        <f t="shared" si="60"/>
        <v/>
      </c>
      <c r="T388" s="78" t="str">
        <f>IF(K388="NV","",IF(VLOOKUP(M388,'R_Häufigkeit_Faktoren UHR'!$B$4:$I$24,8,FALSE)=0,"",VLOOKUP(M388,'R_Häufigkeit_Faktoren UHR'!$B$4:$I$24,8,FALSE)))</f>
        <v/>
      </c>
      <c r="U388" s="156" t="str">
        <f t="shared" si="61"/>
        <v/>
      </c>
      <c r="V388" s="427"/>
      <c r="W388" s="12" t="str">
        <f>IF(T388="","",VLOOKUP(J388,Raumgruppen_Leistungswerte!$B$5:$F$35,5,FALSE))</f>
        <v/>
      </c>
      <c r="X388" s="156" t="str">
        <f t="shared" si="62"/>
        <v/>
      </c>
      <c r="Y388" s="446" t="str">
        <f t="shared" si="63"/>
        <v/>
      </c>
      <c r="Z388" s="158" t="str">
        <f t="shared" si="55"/>
        <v/>
      </c>
      <c r="AA388" s="23" t="str">
        <f t="shared" si="56"/>
        <v/>
      </c>
      <c r="AB388" s="445" t="str">
        <f t="shared" si="57"/>
        <v/>
      </c>
      <c r="AC388" s="123"/>
    </row>
    <row r="389" spans="1:29" ht="12" customHeight="1">
      <c r="A389" s="11">
        <v>385</v>
      </c>
      <c r="B389" s="12"/>
      <c r="C389" s="17"/>
      <c r="D389" s="19"/>
      <c r="E389" s="17"/>
      <c r="F389" s="18"/>
      <c r="G389" s="4"/>
      <c r="H389" s="19"/>
      <c r="I389" s="20"/>
      <c r="J389" s="21"/>
      <c r="K389" s="12" t="s">
        <v>173</v>
      </c>
      <c r="L389" s="17" t="str">
        <f t="shared" si="54"/>
        <v/>
      </c>
      <c r="M389" s="22"/>
      <c r="N389" s="79" t="str">
        <f>IF(K389="NV","",IF(VLOOKUP(M389,'R_Häufigkeit_Faktoren UHR'!$B$4:$I$24,7,FALSE)=0,"",VLOOKUP(M389,'R_Häufigkeit_Faktoren UHR'!$B$4:$I$24,7,FALSE)))</f>
        <v/>
      </c>
      <c r="O389" s="3" t="str">
        <f t="shared" si="58"/>
        <v/>
      </c>
      <c r="P389" s="325"/>
      <c r="Q389" s="156" t="str">
        <f>IF(N389="","",VLOOKUP(J389,Raumgruppen_Leistungswerte!$B$5:$F$35,5,FALSE))</f>
        <v/>
      </c>
      <c r="R389" s="157" t="str">
        <f t="shared" si="59"/>
        <v/>
      </c>
      <c r="S389" s="445" t="str">
        <f t="shared" si="60"/>
        <v/>
      </c>
      <c r="T389" s="78" t="str">
        <f>IF(K389="NV","",IF(VLOOKUP(M389,'R_Häufigkeit_Faktoren UHR'!$B$4:$I$24,8,FALSE)=0,"",VLOOKUP(M389,'R_Häufigkeit_Faktoren UHR'!$B$4:$I$24,8,FALSE)))</f>
        <v/>
      </c>
      <c r="U389" s="156" t="str">
        <f t="shared" si="61"/>
        <v/>
      </c>
      <c r="V389" s="427"/>
      <c r="W389" s="12" t="str">
        <f>IF(T389="","",VLOOKUP(J389,Raumgruppen_Leistungswerte!$B$5:$F$35,5,FALSE))</f>
        <v/>
      </c>
      <c r="X389" s="156" t="str">
        <f t="shared" si="62"/>
        <v/>
      </c>
      <c r="Y389" s="446" t="str">
        <f t="shared" si="63"/>
        <v/>
      </c>
      <c r="Z389" s="158" t="str">
        <f t="shared" si="55"/>
        <v/>
      </c>
      <c r="AA389" s="23" t="str">
        <f t="shared" si="56"/>
        <v/>
      </c>
      <c r="AB389" s="445" t="str">
        <f t="shared" si="57"/>
        <v/>
      </c>
      <c r="AC389" s="123"/>
    </row>
    <row r="390" spans="1:29" ht="12" customHeight="1">
      <c r="A390" s="11">
        <v>386</v>
      </c>
      <c r="B390" s="12"/>
      <c r="C390" s="17"/>
      <c r="D390" s="19"/>
      <c r="E390" s="17"/>
      <c r="F390" s="18"/>
      <c r="G390" s="4"/>
      <c r="H390" s="19"/>
      <c r="I390" s="20"/>
      <c r="J390" s="21"/>
      <c r="K390" s="12" t="s">
        <v>173</v>
      </c>
      <c r="L390" s="17" t="str">
        <f t="shared" si="54"/>
        <v/>
      </c>
      <c r="M390" s="22"/>
      <c r="N390" s="79" t="str">
        <f>IF(K390="NV","",IF(VLOOKUP(M390,'R_Häufigkeit_Faktoren UHR'!$B$4:$I$24,7,FALSE)=0,"",VLOOKUP(M390,'R_Häufigkeit_Faktoren UHR'!$B$4:$I$24,7,FALSE)))</f>
        <v/>
      </c>
      <c r="O390" s="3" t="str">
        <f t="shared" si="58"/>
        <v/>
      </c>
      <c r="P390" s="325"/>
      <c r="Q390" s="156" t="str">
        <f>IF(N390="","",VLOOKUP(J390,Raumgruppen_Leistungswerte!$B$5:$F$35,5,FALSE))</f>
        <v/>
      </c>
      <c r="R390" s="157" t="str">
        <f t="shared" si="59"/>
        <v/>
      </c>
      <c r="S390" s="445" t="str">
        <f t="shared" si="60"/>
        <v/>
      </c>
      <c r="T390" s="78" t="str">
        <f>IF(K390="NV","",IF(VLOOKUP(M390,'R_Häufigkeit_Faktoren UHR'!$B$4:$I$24,8,FALSE)=0,"",VLOOKUP(M390,'R_Häufigkeit_Faktoren UHR'!$B$4:$I$24,8,FALSE)))</f>
        <v/>
      </c>
      <c r="U390" s="156" t="str">
        <f t="shared" si="61"/>
        <v/>
      </c>
      <c r="V390" s="427"/>
      <c r="W390" s="12" t="str">
        <f>IF(T390="","",VLOOKUP(J390,Raumgruppen_Leistungswerte!$B$5:$F$35,5,FALSE))</f>
        <v/>
      </c>
      <c r="X390" s="156" t="str">
        <f t="shared" si="62"/>
        <v/>
      </c>
      <c r="Y390" s="446" t="str">
        <f t="shared" si="63"/>
        <v/>
      </c>
      <c r="Z390" s="158" t="str">
        <f t="shared" si="55"/>
        <v/>
      </c>
      <c r="AA390" s="23" t="str">
        <f t="shared" si="56"/>
        <v/>
      </c>
      <c r="AB390" s="445" t="str">
        <f t="shared" si="57"/>
        <v/>
      </c>
      <c r="AC390" s="123"/>
    </row>
    <row r="391" spans="1:29" ht="12" customHeight="1">
      <c r="A391" s="11">
        <v>387</v>
      </c>
      <c r="B391" s="12"/>
      <c r="C391" s="17"/>
      <c r="D391" s="19"/>
      <c r="E391" s="17"/>
      <c r="F391" s="18"/>
      <c r="G391" s="4"/>
      <c r="H391" s="19"/>
      <c r="I391" s="14"/>
      <c r="J391" s="15"/>
      <c r="K391" s="12" t="s">
        <v>173</v>
      </c>
      <c r="L391" s="17" t="str">
        <f t="shared" si="54"/>
        <v/>
      </c>
      <c r="M391" s="22"/>
      <c r="N391" s="79" t="str">
        <f>IF(K391="NV","",IF(VLOOKUP(M391,'R_Häufigkeit_Faktoren UHR'!$B$4:$I$24,7,FALSE)=0,"",VLOOKUP(M391,'R_Häufigkeit_Faktoren UHR'!$B$4:$I$24,7,FALSE)))</f>
        <v/>
      </c>
      <c r="O391" s="3" t="str">
        <f t="shared" si="58"/>
        <v/>
      </c>
      <c r="P391" s="325"/>
      <c r="Q391" s="156" t="str">
        <f>IF(N391="","",VLOOKUP(J391,Raumgruppen_Leistungswerte!$B$5:$F$35,5,FALSE))</f>
        <v/>
      </c>
      <c r="R391" s="157" t="str">
        <f t="shared" si="59"/>
        <v/>
      </c>
      <c r="S391" s="445" t="str">
        <f t="shared" si="60"/>
        <v/>
      </c>
      <c r="T391" s="78" t="str">
        <f>IF(K391="NV","",IF(VLOOKUP(M391,'R_Häufigkeit_Faktoren UHR'!$B$4:$I$24,8,FALSE)=0,"",VLOOKUP(M391,'R_Häufigkeit_Faktoren UHR'!$B$4:$I$24,8,FALSE)))</f>
        <v/>
      </c>
      <c r="U391" s="156" t="str">
        <f t="shared" si="61"/>
        <v/>
      </c>
      <c r="V391" s="427"/>
      <c r="W391" s="12" t="str">
        <f>IF(T391="","",VLOOKUP(J391,Raumgruppen_Leistungswerte!$B$5:$F$35,5,FALSE))</f>
        <v/>
      </c>
      <c r="X391" s="156" t="str">
        <f t="shared" si="62"/>
        <v/>
      </c>
      <c r="Y391" s="446" t="str">
        <f t="shared" si="63"/>
        <v/>
      </c>
      <c r="Z391" s="158" t="str">
        <f t="shared" si="55"/>
        <v/>
      </c>
      <c r="AA391" s="23" t="str">
        <f t="shared" si="56"/>
        <v/>
      </c>
      <c r="AB391" s="445" t="str">
        <f t="shared" si="57"/>
        <v/>
      </c>
      <c r="AC391" s="123"/>
    </row>
    <row r="392" spans="1:29" ht="12" customHeight="1">
      <c r="A392" s="11">
        <v>388</v>
      </c>
      <c r="B392" s="12"/>
      <c r="C392" s="17"/>
      <c r="D392" s="19"/>
      <c r="E392" s="17"/>
      <c r="F392" s="18"/>
      <c r="G392" s="4"/>
      <c r="H392" s="19"/>
      <c r="I392" s="14"/>
      <c r="J392" s="21"/>
      <c r="K392" s="12" t="s">
        <v>173</v>
      </c>
      <c r="L392" s="17" t="str">
        <f t="shared" si="54"/>
        <v/>
      </c>
      <c r="M392" s="22"/>
      <c r="N392" s="79" t="str">
        <f>IF(K392="NV","",IF(VLOOKUP(M392,'R_Häufigkeit_Faktoren UHR'!$B$4:$I$24,7,FALSE)=0,"",VLOOKUP(M392,'R_Häufigkeit_Faktoren UHR'!$B$4:$I$24,7,FALSE)))</f>
        <v/>
      </c>
      <c r="O392" s="3" t="str">
        <f t="shared" si="58"/>
        <v/>
      </c>
      <c r="P392" s="325"/>
      <c r="Q392" s="156" t="str">
        <f>IF(N392="","",VLOOKUP(J392,Raumgruppen_Leistungswerte!$B$5:$F$35,5,FALSE))</f>
        <v/>
      </c>
      <c r="R392" s="157" t="str">
        <f t="shared" si="59"/>
        <v/>
      </c>
      <c r="S392" s="445" t="str">
        <f t="shared" si="60"/>
        <v/>
      </c>
      <c r="T392" s="78" t="str">
        <f>IF(K392="NV","",IF(VLOOKUP(M392,'R_Häufigkeit_Faktoren UHR'!$B$4:$I$24,8,FALSE)=0,"",VLOOKUP(M392,'R_Häufigkeit_Faktoren UHR'!$B$4:$I$24,8,FALSE)))</f>
        <v/>
      </c>
      <c r="U392" s="156" t="str">
        <f t="shared" si="61"/>
        <v/>
      </c>
      <c r="V392" s="427"/>
      <c r="W392" s="12" t="str">
        <f>IF(T392="","",VLOOKUP(J392,Raumgruppen_Leistungswerte!$B$5:$F$35,5,FALSE))</f>
        <v/>
      </c>
      <c r="X392" s="156" t="str">
        <f t="shared" si="62"/>
        <v/>
      </c>
      <c r="Y392" s="446" t="str">
        <f t="shared" si="63"/>
        <v/>
      </c>
      <c r="Z392" s="158" t="str">
        <f t="shared" si="55"/>
        <v/>
      </c>
      <c r="AA392" s="23" t="str">
        <f t="shared" si="56"/>
        <v/>
      </c>
      <c r="AB392" s="445" t="str">
        <f t="shared" si="57"/>
        <v/>
      </c>
      <c r="AC392" s="123"/>
    </row>
    <row r="393" spans="1:29" ht="12" customHeight="1">
      <c r="A393" s="11">
        <v>389</v>
      </c>
      <c r="B393" s="12"/>
      <c r="C393" s="17"/>
      <c r="D393" s="19"/>
      <c r="E393" s="17"/>
      <c r="F393" s="18"/>
      <c r="G393" s="4"/>
      <c r="H393" s="19"/>
      <c r="I393" s="14"/>
      <c r="J393" s="21"/>
      <c r="K393" s="12" t="s">
        <v>173</v>
      </c>
      <c r="L393" s="17" t="str">
        <f t="shared" si="54"/>
        <v/>
      </c>
      <c r="M393" s="22"/>
      <c r="N393" s="79" t="str">
        <f>IF(K393="NV","",IF(VLOOKUP(M393,'R_Häufigkeit_Faktoren UHR'!$B$4:$I$24,7,FALSE)=0,"",VLOOKUP(M393,'R_Häufigkeit_Faktoren UHR'!$B$4:$I$24,7,FALSE)))</f>
        <v/>
      </c>
      <c r="O393" s="3" t="str">
        <f t="shared" si="58"/>
        <v/>
      </c>
      <c r="P393" s="325"/>
      <c r="Q393" s="156" t="str">
        <f>IF(N393="","",VLOOKUP(J393,Raumgruppen_Leistungswerte!$B$5:$F$35,5,FALSE))</f>
        <v/>
      </c>
      <c r="R393" s="157" t="str">
        <f t="shared" si="59"/>
        <v/>
      </c>
      <c r="S393" s="445" t="str">
        <f t="shared" si="60"/>
        <v/>
      </c>
      <c r="T393" s="78" t="str">
        <f>IF(K393="NV","",IF(VLOOKUP(M393,'R_Häufigkeit_Faktoren UHR'!$B$4:$I$24,8,FALSE)=0,"",VLOOKUP(M393,'R_Häufigkeit_Faktoren UHR'!$B$4:$I$24,8,FALSE)))</f>
        <v/>
      </c>
      <c r="U393" s="156" t="str">
        <f t="shared" si="61"/>
        <v/>
      </c>
      <c r="V393" s="427"/>
      <c r="W393" s="12" t="str">
        <f>IF(T393="","",VLOOKUP(J393,Raumgruppen_Leistungswerte!$B$5:$F$35,5,FALSE))</f>
        <v/>
      </c>
      <c r="X393" s="156" t="str">
        <f t="shared" si="62"/>
        <v/>
      </c>
      <c r="Y393" s="446" t="str">
        <f t="shared" si="63"/>
        <v/>
      </c>
      <c r="Z393" s="158" t="str">
        <f t="shared" si="55"/>
        <v/>
      </c>
      <c r="AA393" s="23" t="str">
        <f t="shared" si="56"/>
        <v/>
      </c>
      <c r="AB393" s="445" t="str">
        <f t="shared" si="57"/>
        <v/>
      </c>
      <c r="AC393" s="123"/>
    </row>
    <row r="394" spans="1:29" ht="12" customHeight="1">
      <c r="A394" s="11">
        <v>390</v>
      </c>
      <c r="B394" s="12"/>
      <c r="C394" s="17"/>
      <c r="D394" s="19"/>
      <c r="E394" s="17"/>
      <c r="F394" s="18"/>
      <c r="G394" s="4"/>
      <c r="H394" s="19"/>
      <c r="I394" s="14"/>
      <c r="J394" s="21"/>
      <c r="K394" s="12" t="s">
        <v>173</v>
      </c>
      <c r="L394" s="17" t="str">
        <f t="shared" si="54"/>
        <v/>
      </c>
      <c r="M394" s="22"/>
      <c r="N394" s="79" t="str">
        <f>IF(K394="NV","",IF(VLOOKUP(M394,'R_Häufigkeit_Faktoren UHR'!$B$4:$I$24,7,FALSE)=0,"",VLOOKUP(M394,'R_Häufigkeit_Faktoren UHR'!$B$4:$I$24,7,FALSE)))</f>
        <v/>
      </c>
      <c r="O394" s="3" t="str">
        <f t="shared" si="58"/>
        <v/>
      </c>
      <c r="P394" s="325"/>
      <c r="Q394" s="156" t="str">
        <f>IF(N394="","",VLOOKUP(J394,Raumgruppen_Leistungswerte!$B$5:$F$35,5,FALSE))</f>
        <v/>
      </c>
      <c r="R394" s="157" t="str">
        <f t="shared" si="59"/>
        <v/>
      </c>
      <c r="S394" s="445" t="str">
        <f t="shared" si="60"/>
        <v/>
      </c>
      <c r="T394" s="78" t="str">
        <f>IF(K394="NV","",IF(VLOOKUP(M394,'R_Häufigkeit_Faktoren UHR'!$B$4:$I$24,8,FALSE)=0,"",VLOOKUP(M394,'R_Häufigkeit_Faktoren UHR'!$B$4:$I$24,8,FALSE)))</f>
        <v/>
      </c>
      <c r="U394" s="156" t="str">
        <f t="shared" si="61"/>
        <v/>
      </c>
      <c r="V394" s="427"/>
      <c r="W394" s="12" t="str">
        <f>IF(T394="","",VLOOKUP(J394,Raumgruppen_Leistungswerte!$B$5:$F$35,5,FALSE))</f>
        <v/>
      </c>
      <c r="X394" s="156" t="str">
        <f t="shared" si="62"/>
        <v/>
      </c>
      <c r="Y394" s="446" t="str">
        <f t="shared" si="63"/>
        <v/>
      </c>
      <c r="Z394" s="158" t="str">
        <f t="shared" si="55"/>
        <v/>
      </c>
      <c r="AA394" s="23" t="str">
        <f t="shared" si="56"/>
        <v/>
      </c>
      <c r="AB394" s="445" t="str">
        <f t="shared" si="57"/>
        <v/>
      </c>
      <c r="AC394" s="123"/>
    </row>
    <row r="395" spans="1:29" ht="12" customHeight="1">
      <c r="A395" s="11">
        <v>391</v>
      </c>
      <c r="B395" s="12"/>
      <c r="C395" s="17"/>
      <c r="D395" s="19"/>
      <c r="E395" s="17"/>
      <c r="F395" s="18"/>
      <c r="G395" s="4"/>
      <c r="H395" s="19"/>
      <c r="I395" s="20"/>
      <c r="J395" s="21"/>
      <c r="K395" s="12" t="s">
        <v>173</v>
      </c>
      <c r="L395" s="17" t="str">
        <f t="shared" si="54"/>
        <v/>
      </c>
      <c r="M395" s="22"/>
      <c r="N395" s="79" t="str">
        <f>IF(K395="NV","",IF(VLOOKUP(M395,'R_Häufigkeit_Faktoren UHR'!$B$4:$I$24,7,FALSE)=0,"",VLOOKUP(M395,'R_Häufigkeit_Faktoren UHR'!$B$4:$I$24,7,FALSE)))</f>
        <v/>
      </c>
      <c r="O395" s="3" t="str">
        <f t="shared" si="58"/>
        <v/>
      </c>
      <c r="P395" s="325"/>
      <c r="Q395" s="156" t="str">
        <f>IF(N395="","",VLOOKUP(J395,Raumgruppen_Leistungswerte!$B$5:$F$35,5,FALSE))</f>
        <v/>
      </c>
      <c r="R395" s="157" t="str">
        <f t="shared" si="59"/>
        <v/>
      </c>
      <c r="S395" s="445" t="str">
        <f t="shared" si="60"/>
        <v/>
      </c>
      <c r="T395" s="78" t="str">
        <f>IF(K395="NV","",IF(VLOOKUP(M395,'R_Häufigkeit_Faktoren UHR'!$B$4:$I$24,8,FALSE)=0,"",VLOOKUP(M395,'R_Häufigkeit_Faktoren UHR'!$B$4:$I$24,8,FALSE)))</f>
        <v/>
      </c>
      <c r="U395" s="156" t="str">
        <f t="shared" si="61"/>
        <v/>
      </c>
      <c r="V395" s="427"/>
      <c r="W395" s="12" t="str">
        <f>IF(T395="","",VLOOKUP(J395,Raumgruppen_Leistungswerte!$B$5:$F$35,5,FALSE))</f>
        <v/>
      </c>
      <c r="X395" s="156" t="str">
        <f t="shared" si="62"/>
        <v/>
      </c>
      <c r="Y395" s="446" t="str">
        <f t="shared" si="63"/>
        <v/>
      </c>
      <c r="Z395" s="158" t="str">
        <f t="shared" si="55"/>
        <v/>
      </c>
      <c r="AA395" s="23" t="str">
        <f t="shared" si="56"/>
        <v/>
      </c>
      <c r="AB395" s="445" t="str">
        <f t="shared" si="57"/>
        <v/>
      </c>
      <c r="AC395" s="123"/>
    </row>
    <row r="396" spans="1:29" ht="12" customHeight="1">
      <c r="A396" s="11">
        <v>392</v>
      </c>
      <c r="B396" s="12"/>
      <c r="C396" s="17"/>
      <c r="D396" s="19"/>
      <c r="E396" s="17"/>
      <c r="F396" s="18"/>
      <c r="G396" s="4"/>
      <c r="H396" s="19"/>
      <c r="I396" s="20"/>
      <c r="J396" s="21"/>
      <c r="K396" s="12" t="s">
        <v>173</v>
      </c>
      <c r="L396" s="17" t="str">
        <f t="shared" si="54"/>
        <v/>
      </c>
      <c r="M396" s="22"/>
      <c r="N396" s="79" t="str">
        <f>IF(K396="NV","",IF(VLOOKUP(M396,'R_Häufigkeit_Faktoren UHR'!$B$4:$I$24,7,FALSE)=0,"",VLOOKUP(M396,'R_Häufigkeit_Faktoren UHR'!$B$4:$I$24,7,FALSE)))</f>
        <v/>
      </c>
      <c r="O396" s="3" t="str">
        <f t="shared" si="58"/>
        <v/>
      </c>
      <c r="P396" s="325"/>
      <c r="Q396" s="156" t="str">
        <f>IF(N396="","",VLOOKUP(J396,Raumgruppen_Leistungswerte!$B$5:$F$35,5,FALSE))</f>
        <v/>
      </c>
      <c r="R396" s="157" t="str">
        <f t="shared" si="59"/>
        <v/>
      </c>
      <c r="S396" s="445" t="str">
        <f t="shared" si="60"/>
        <v/>
      </c>
      <c r="T396" s="78" t="str">
        <f>IF(K396="NV","",IF(VLOOKUP(M396,'R_Häufigkeit_Faktoren UHR'!$B$4:$I$24,8,FALSE)=0,"",VLOOKUP(M396,'R_Häufigkeit_Faktoren UHR'!$B$4:$I$24,8,FALSE)))</f>
        <v/>
      </c>
      <c r="U396" s="156" t="str">
        <f t="shared" si="61"/>
        <v/>
      </c>
      <c r="V396" s="427"/>
      <c r="W396" s="12" t="str">
        <f>IF(T396="","",VLOOKUP(J396,Raumgruppen_Leistungswerte!$B$5:$F$35,5,FALSE))</f>
        <v/>
      </c>
      <c r="X396" s="156" t="str">
        <f t="shared" si="62"/>
        <v/>
      </c>
      <c r="Y396" s="446" t="str">
        <f t="shared" si="63"/>
        <v/>
      </c>
      <c r="Z396" s="158" t="str">
        <f t="shared" si="55"/>
        <v/>
      </c>
      <c r="AA396" s="23" t="str">
        <f t="shared" si="56"/>
        <v/>
      </c>
      <c r="AB396" s="445" t="str">
        <f t="shared" si="57"/>
        <v/>
      </c>
      <c r="AC396" s="123"/>
    </row>
    <row r="397" spans="1:29" ht="12" customHeight="1">
      <c r="A397" s="11">
        <v>393</v>
      </c>
      <c r="B397" s="12"/>
      <c r="C397" s="17"/>
      <c r="D397" s="19"/>
      <c r="E397" s="17"/>
      <c r="F397" s="18"/>
      <c r="G397" s="4"/>
      <c r="H397" s="19"/>
      <c r="I397" s="20"/>
      <c r="J397" s="21"/>
      <c r="K397" s="12" t="s">
        <v>173</v>
      </c>
      <c r="L397" s="17" t="str">
        <f t="shared" si="54"/>
        <v/>
      </c>
      <c r="M397" s="22"/>
      <c r="N397" s="79" t="str">
        <f>IF(K397="NV","",IF(VLOOKUP(M397,'R_Häufigkeit_Faktoren UHR'!$B$4:$I$24,7,FALSE)=0,"",VLOOKUP(M397,'R_Häufigkeit_Faktoren UHR'!$B$4:$I$24,7,FALSE)))</f>
        <v/>
      </c>
      <c r="O397" s="3" t="str">
        <f t="shared" si="58"/>
        <v/>
      </c>
      <c r="P397" s="325"/>
      <c r="Q397" s="156" t="str">
        <f>IF(N397="","",VLOOKUP(J397,Raumgruppen_Leistungswerte!$B$5:$F$35,5,FALSE))</f>
        <v/>
      </c>
      <c r="R397" s="157" t="str">
        <f t="shared" si="59"/>
        <v/>
      </c>
      <c r="S397" s="445" t="str">
        <f t="shared" si="60"/>
        <v/>
      </c>
      <c r="T397" s="78" t="str">
        <f>IF(K397="NV","",IF(VLOOKUP(M397,'R_Häufigkeit_Faktoren UHR'!$B$4:$I$24,8,FALSE)=0,"",VLOOKUP(M397,'R_Häufigkeit_Faktoren UHR'!$B$4:$I$24,8,FALSE)))</f>
        <v/>
      </c>
      <c r="U397" s="156" t="str">
        <f t="shared" si="61"/>
        <v/>
      </c>
      <c r="V397" s="427"/>
      <c r="W397" s="12" t="str">
        <f>IF(T397="","",VLOOKUP(J397,Raumgruppen_Leistungswerte!$B$5:$F$35,5,FALSE))</f>
        <v/>
      </c>
      <c r="X397" s="156" t="str">
        <f t="shared" si="62"/>
        <v/>
      </c>
      <c r="Y397" s="446" t="str">
        <f t="shared" si="63"/>
        <v/>
      </c>
      <c r="Z397" s="158" t="str">
        <f t="shared" si="55"/>
        <v/>
      </c>
      <c r="AA397" s="23" t="str">
        <f t="shared" si="56"/>
        <v/>
      </c>
      <c r="AB397" s="445" t="str">
        <f t="shared" si="57"/>
        <v/>
      </c>
      <c r="AC397" s="123"/>
    </row>
    <row r="398" spans="1:29" ht="12" customHeight="1">
      <c r="A398" s="11">
        <v>394</v>
      </c>
      <c r="B398" s="12"/>
      <c r="C398" s="17"/>
      <c r="D398" s="19"/>
      <c r="E398" s="17"/>
      <c r="F398" s="18"/>
      <c r="G398" s="4"/>
      <c r="H398" s="19"/>
      <c r="I398" s="20"/>
      <c r="J398" s="21"/>
      <c r="K398" s="12" t="s">
        <v>173</v>
      </c>
      <c r="L398" s="17" t="str">
        <f t="shared" si="54"/>
        <v/>
      </c>
      <c r="M398" s="22"/>
      <c r="N398" s="79" t="str">
        <f>IF(K398="NV","",IF(VLOOKUP(M398,'R_Häufigkeit_Faktoren UHR'!$B$4:$I$24,7,FALSE)=0,"",VLOOKUP(M398,'R_Häufigkeit_Faktoren UHR'!$B$4:$I$24,7,FALSE)))</f>
        <v/>
      </c>
      <c r="O398" s="3" t="str">
        <f t="shared" si="58"/>
        <v/>
      </c>
      <c r="P398" s="325"/>
      <c r="Q398" s="156" t="str">
        <f>IF(N398="","",VLOOKUP(J398,Raumgruppen_Leistungswerte!$B$5:$F$35,5,FALSE))</f>
        <v/>
      </c>
      <c r="R398" s="157" t="str">
        <f t="shared" si="59"/>
        <v/>
      </c>
      <c r="S398" s="445" t="str">
        <f t="shared" si="60"/>
        <v/>
      </c>
      <c r="T398" s="78" t="str">
        <f>IF(K398="NV","",IF(VLOOKUP(M398,'R_Häufigkeit_Faktoren UHR'!$B$4:$I$24,8,FALSE)=0,"",VLOOKUP(M398,'R_Häufigkeit_Faktoren UHR'!$B$4:$I$24,8,FALSE)))</f>
        <v/>
      </c>
      <c r="U398" s="156" t="str">
        <f t="shared" si="61"/>
        <v/>
      </c>
      <c r="V398" s="427"/>
      <c r="W398" s="12" t="str">
        <f>IF(T398="","",VLOOKUP(J398,Raumgruppen_Leistungswerte!$B$5:$F$35,5,FALSE))</f>
        <v/>
      </c>
      <c r="X398" s="156" t="str">
        <f t="shared" si="62"/>
        <v/>
      </c>
      <c r="Y398" s="446" t="str">
        <f t="shared" si="63"/>
        <v/>
      </c>
      <c r="Z398" s="158" t="str">
        <f t="shared" si="55"/>
        <v/>
      </c>
      <c r="AA398" s="23" t="str">
        <f t="shared" si="56"/>
        <v/>
      </c>
      <c r="AB398" s="445" t="str">
        <f t="shared" si="57"/>
        <v/>
      </c>
      <c r="AC398" s="123"/>
    </row>
    <row r="399" spans="1:29" ht="12" customHeight="1">
      <c r="A399" s="11">
        <v>395</v>
      </c>
      <c r="B399" s="12"/>
      <c r="C399" s="17"/>
      <c r="D399" s="19"/>
      <c r="E399" s="17"/>
      <c r="F399" s="18"/>
      <c r="G399" s="4"/>
      <c r="H399" s="19"/>
      <c r="I399" s="20"/>
      <c r="J399" s="21"/>
      <c r="K399" s="12" t="s">
        <v>173</v>
      </c>
      <c r="L399" s="17" t="str">
        <f t="shared" si="54"/>
        <v/>
      </c>
      <c r="M399" s="22"/>
      <c r="N399" s="79" t="str">
        <f>IF(K399="NV","",IF(VLOOKUP(M399,'R_Häufigkeit_Faktoren UHR'!$B$4:$I$24,7,FALSE)=0,"",VLOOKUP(M399,'R_Häufigkeit_Faktoren UHR'!$B$4:$I$24,7,FALSE)))</f>
        <v/>
      </c>
      <c r="O399" s="3" t="str">
        <f t="shared" si="58"/>
        <v/>
      </c>
      <c r="P399" s="325"/>
      <c r="Q399" s="156" t="str">
        <f>IF(N399="","",VLOOKUP(J399,Raumgruppen_Leistungswerte!$B$5:$F$35,5,FALSE))</f>
        <v/>
      </c>
      <c r="R399" s="157" t="str">
        <f t="shared" si="59"/>
        <v/>
      </c>
      <c r="S399" s="445" t="str">
        <f t="shared" si="60"/>
        <v/>
      </c>
      <c r="T399" s="78" t="str">
        <f>IF(K399="NV","",IF(VLOOKUP(M399,'R_Häufigkeit_Faktoren UHR'!$B$4:$I$24,8,FALSE)=0,"",VLOOKUP(M399,'R_Häufigkeit_Faktoren UHR'!$B$4:$I$24,8,FALSE)))</f>
        <v/>
      </c>
      <c r="U399" s="156" t="str">
        <f t="shared" si="61"/>
        <v/>
      </c>
      <c r="V399" s="427"/>
      <c r="W399" s="12" t="str">
        <f>IF(T399="","",VLOOKUP(J399,Raumgruppen_Leistungswerte!$B$5:$F$35,5,FALSE))</f>
        <v/>
      </c>
      <c r="X399" s="156" t="str">
        <f t="shared" si="62"/>
        <v/>
      </c>
      <c r="Y399" s="446" t="str">
        <f t="shared" si="63"/>
        <v/>
      </c>
      <c r="Z399" s="158" t="str">
        <f t="shared" si="55"/>
        <v/>
      </c>
      <c r="AA399" s="23" t="str">
        <f t="shared" si="56"/>
        <v/>
      </c>
      <c r="AB399" s="445" t="str">
        <f t="shared" si="57"/>
        <v/>
      </c>
      <c r="AC399" s="123"/>
    </row>
    <row r="400" spans="1:29" ht="12" customHeight="1">
      <c r="A400" s="11">
        <v>396</v>
      </c>
      <c r="B400" s="12"/>
      <c r="C400" s="17"/>
      <c r="D400" s="19"/>
      <c r="E400" s="17"/>
      <c r="F400" s="18"/>
      <c r="G400" s="4"/>
      <c r="H400" s="19"/>
      <c r="I400" s="20"/>
      <c r="J400" s="21"/>
      <c r="K400" s="12" t="s">
        <v>173</v>
      </c>
      <c r="L400" s="17" t="str">
        <f t="shared" si="54"/>
        <v/>
      </c>
      <c r="M400" s="22"/>
      <c r="N400" s="79" t="str">
        <f>IF(K400="NV","",IF(VLOOKUP(M400,'R_Häufigkeit_Faktoren UHR'!$B$4:$I$24,7,FALSE)=0,"",VLOOKUP(M400,'R_Häufigkeit_Faktoren UHR'!$B$4:$I$24,7,FALSE)))</f>
        <v/>
      </c>
      <c r="O400" s="3" t="str">
        <f t="shared" si="58"/>
        <v/>
      </c>
      <c r="P400" s="325"/>
      <c r="Q400" s="156" t="str">
        <f>IF(N400="","",VLOOKUP(J400,Raumgruppen_Leistungswerte!$B$5:$F$35,5,FALSE))</f>
        <v/>
      </c>
      <c r="R400" s="157" t="str">
        <f t="shared" si="59"/>
        <v/>
      </c>
      <c r="S400" s="445" t="str">
        <f t="shared" si="60"/>
        <v/>
      </c>
      <c r="T400" s="78" t="str">
        <f>IF(K400="NV","",IF(VLOOKUP(M400,'R_Häufigkeit_Faktoren UHR'!$B$4:$I$24,8,FALSE)=0,"",VLOOKUP(M400,'R_Häufigkeit_Faktoren UHR'!$B$4:$I$24,8,FALSE)))</f>
        <v/>
      </c>
      <c r="U400" s="156" t="str">
        <f t="shared" si="61"/>
        <v/>
      </c>
      <c r="V400" s="427"/>
      <c r="W400" s="12" t="str">
        <f>IF(T400="","",VLOOKUP(J400,Raumgruppen_Leistungswerte!$B$5:$F$35,5,FALSE))</f>
        <v/>
      </c>
      <c r="X400" s="156" t="str">
        <f t="shared" si="62"/>
        <v/>
      </c>
      <c r="Y400" s="446" t="str">
        <f t="shared" si="63"/>
        <v/>
      </c>
      <c r="Z400" s="158" t="str">
        <f t="shared" si="55"/>
        <v/>
      </c>
      <c r="AA400" s="23" t="str">
        <f t="shared" si="56"/>
        <v/>
      </c>
      <c r="AB400" s="445" t="str">
        <f t="shared" si="57"/>
        <v/>
      </c>
      <c r="AC400" s="123"/>
    </row>
    <row r="401" spans="1:29" ht="12" customHeight="1">
      <c r="A401" s="11">
        <v>397</v>
      </c>
      <c r="B401" s="12"/>
      <c r="C401" s="17"/>
      <c r="D401" s="19"/>
      <c r="E401" s="17"/>
      <c r="F401" s="18"/>
      <c r="G401" s="4"/>
      <c r="H401" s="19"/>
      <c r="I401" s="20"/>
      <c r="J401" s="21"/>
      <c r="K401" s="12" t="s">
        <v>173</v>
      </c>
      <c r="L401" s="17" t="str">
        <f t="shared" si="54"/>
        <v/>
      </c>
      <c r="M401" s="22"/>
      <c r="N401" s="79" t="str">
        <f>IF(K401="NV","",IF(VLOOKUP(M401,'R_Häufigkeit_Faktoren UHR'!$B$4:$I$24,7,FALSE)=0,"",VLOOKUP(M401,'R_Häufigkeit_Faktoren UHR'!$B$4:$I$24,7,FALSE)))</f>
        <v/>
      </c>
      <c r="O401" s="3" t="str">
        <f t="shared" si="58"/>
        <v/>
      </c>
      <c r="P401" s="325"/>
      <c r="Q401" s="156" t="str">
        <f>IF(N401="","",VLOOKUP(J401,Raumgruppen_Leistungswerte!$B$5:$F$35,5,FALSE))</f>
        <v/>
      </c>
      <c r="R401" s="157" t="str">
        <f t="shared" si="59"/>
        <v/>
      </c>
      <c r="S401" s="445" t="str">
        <f t="shared" si="60"/>
        <v/>
      </c>
      <c r="T401" s="78" t="str">
        <f>IF(K401="NV","",IF(VLOOKUP(M401,'R_Häufigkeit_Faktoren UHR'!$B$4:$I$24,8,FALSE)=0,"",VLOOKUP(M401,'R_Häufigkeit_Faktoren UHR'!$B$4:$I$24,8,FALSE)))</f>
        <v/>
      </c>
      <c r="U401" s="156" t="str">
        <f t="shared" si="61"/>
        <v/>
      </c>
      <c r="V401" s="427"/>
      <c r="W401" s="12" t="str">
        <f>IF(T401="","",VLOOKUP(J401,Raumgruppen_Leistungswerte!$B$5:$F$35,5,FALSE))</f>
        <v/>
      </c>
      <c r="X401" s="156" t="str">
        <f t="shared" si="62"/>
        <v/>
      </c>
      <c r="Y401" s="446" t="str">
        <f t="shared" si="63"/>
        <v/>
      </c>
      <c r="Z401" s="158" t="str">
        <f t="shared" si="55"/>
        <v/>
      </c>
      <c r="AA401" s="23" t="str">
        <f t="shared" si="56"/>
        <v/>
      </c>
      <c r="AB401" s="445" t="str">
        <f t="shared" si="57"/>
        <v/>
      </c>
      <c r="AC401" s="123"/>
    </row>
    <row r="402" spans="1:29" ht="12" customHeight="1">
      <c r="A402" s="11">
        <v>398</v>
      </c>
      <c r="B402" s="12"/>
      <c r="C402" s="17"/>
      <c r="D402" s="19"/>
      <c r="E402" s="17"/>
      <c r="F402" s="18"/>
      <c r="G402" s="4"/>
      <c r="H402" s="19"/>
      <c r="I402" s="20"/>
      <c r="J402" s="21"/>
      <c r="K402" s="12" t="s">
        <v>173</v>
      </c>
      <c r="L402" s="17" t="str">
        <f t="shared" si="54"/>
        <v/>
      </c>
      <c r="M402" s="22"/>
      <c r="N402" s="79" t="str">
        <f>IF(K402="NV","",IF(VLOOKUP(M402,'R_Häufigkeit_Faktoren UHR'!$B$4:$I$24,7,FALSE)=0,"",VLOOKUP(M402,'R_Häufigkeit_Faktoren UHR'!$B$4:$I$24,7,FALSE)))</f>
        <v/>
      </c>
      <c r="O402" s="3" t="str">
        <f t="shared" si="58"/>
        <v/>
      </c>
      <c r="P402" s="325"/>
      <c r="Q402" s="156" t="str">
        <f>IF(N402="","",VLOOKUP(J402,Raumgruppen_Leistungswerte!$B$5:$F$35,5,FALSE))</f>
        <v/>
      </c>
      <c r="R402" s="157" t="str">
        <f t="shared" si="59"/>
        <v/>
      </c>
      <c r="S402" s="445" t="str">
        <f t="shared" si="60"/>
        <v/>
      </c>
      <c r="T402" s="78" t="str">
        <f>IF(K402="NV","",IF(VLOOKUP(M402,'R_Häufigkeit_Faktoren UHR'!$B$4:$I$24,8,FALSE)=0,"",VLOOKUP(M402,'R_Häufigkeit_Faktoren UHR'!$B$4:$I$24,8,FALSE)))</f>
        <v/>
      </c>
      <c r="U402" s="156" t="str">
        <f t="shared" si="61"/>
        <v/>
      </c>
      <c r="V402" s="427"/>
      <c r="W402" s="12" t="str">
        <f>IF(T402="","",VLOOKUP(J402,Raumgruppen_Leistungswerte!$B$5:$F$35,5,FALSE))</f>
        <v/>
      </c>
      <c r="X402" s="156" t="str">
        <f t="shared" si="62"/>
        <v/>
      </c>
      <c r="Y402" s="446" t="str">
        <f t="shared" si="63"/>
        <v/>
      </c>
      <c r="Z402" s="158" t="str">
        <f t="shared" si="55"/>
        <v/>
      </c>
      <c r="AA402" s="23" t="str">
        <f t="shared" si="56"/>
        <v/>
      </c>
      <c r="AB402" s="445" t="str">
        <f t="shared" si="57"/>
        <v/>
      </c>
      <c r="AC402" s="123"/>
    </row>
    <row r="403" spans="1:29" ht="12" customHeight="1">
      <c r="A403" s="11">
        <v>399</v>
      </c>
      <c r="B403" s="12"/>
      <c r="C403" s="17"/>
      <c r="D403" s="19"/>
      <c r="E403" s="17"/>
      <c r="F403" s="18"/>
      <c r="G403" s="4"/>
      <c r="H403" s="19"/>
      <c r="I403" s="20"/>
      <c r="J403" s="21"/>
      <c r="K403" s="12" t="s">
        <v>173</v>
      </c>
      <c r="L403" s="17" t="str">
        <f t="shared" si="54"/>
        <v/>
      </c>
      <c r="M403" s="22"/>
      <c r="N403" s="79" t="str">
        <f>IF(K403="NV","",IF(VLOOKUP(M403,'R_Häufigkeit_Faktoren UHR'!$B$4:$I$24,7,FALSE)=0,"",VLOOKUP(M403,'R_Häufigkeit_Faktoren UHR'!$B$4:$I$24,7,FALSE)))</f>
        <v/>
      </c>
      <c r="O403" s="3" t="str">
        <f t="shared" si="58"/>
        <v/>
      </c>
      <c r="P403" s="325"/>
      <c r="Q403" s="156" t="str">
        <f>IF(N403="","",VLOOKUP(J403,Raumgruppen_Leistungswerte!$B$5:$F$35,5,FALSE))</f>
        <v/>
      </c>
      <c r="R403" s="157" t="str">
        <f t="shared" si="59"/>
        <v/>
      </c>
      <c r="S403" s="445" t="str">
        <f t="shared" si="60"/>
        <v/>
      </c>
      <c r="T403" s="78" t="str">
        <f>IF(K403="NV","",IF(VLOOKUP(M403,'R_Häufigkeit_Faktoren UHR'!$B$4:$I$24,8,FALSE)=0,"",VLOOKUP(M403,'R_Häufigkeit_Faktoren UHR'!$B$4:$I$24,8,FALSE)))</f>
        <v/>
      </c>
      <c r="U403" s="156" t="str">
        <f t="shared" si="61"/>
        <v/>
      </c>
      <c r="V403" s="427"/>
      <c r="W403" s="12" t="str">
        <f>IF(T403="","",VLOOKUP(J403,Raumgruppen_Leistungswerte!$B$5:$F$35,5,FALSE))</f>
        <v/>
      </c>
      <c r="X403" s="156" t="str">
        <f t="shared" si="62"/>
        <v/>
      </c>
      <c r="Y403" s="446" t="str">
        <f t="shared" si="63"/>
        <v/>
      </c>
      <c r="Z403" s="158" t="str">
        <f t="shared" si="55"/>
        <v/>
      </c>
      <c r="AA403" s="23" t="str">
        <f t="shared" si="56"/>
        <v/>
      </c>
      <c r="AB403" s="445" t="str">
        <f t="shared" si="57"/>
        <v/>
      </c>
      <c r="AC403" s="123"/>
    </row>
    <row r="404" spans="1:29" ht="12" customHeight="1">
      <c r="A404" s="11">
        <v>400</v>
      </c>
      <c r="B404" s="12"/>
      <c r="C404" s="17"/>
      <c r="D404" s="19"/>
      <c r="E404" s="17"/>
      <c r="F404" s="18"/>
      <c r="G404" s="4"/>
      <c r="H404" s="19"/>
      <c r="I404" s="20"/>
      <c r="J404" s="21"/>
      <c r="K404" s="12" t="s">
        <v>173</v>
      </c>
      <c r="L404" s="17" t="str">
        <f t="shared" ref="L404" si="64">IF(K404="NV","",G404)</f>
        <v/>
      </c>
      <c r="M404" s="22"/>
      <c r="N404" s="79" t="str">
        <f>IF(K404="NV","",IF(VLOOKUP(M404,'R_Häufigkeit_Faktoren UHR'!$B$4:$I$24,7,FALSE)=0,"",VLOOKUP(M404,'R_Häufigkeit_Faktoren UHR'!$B$4:$I$24,7,FALSE)))</f>
        <v/>
      </c>
      <c r="O404" s="3" t="str">
        <f t="shared" si="58"/>
        <v/>
      </c>
      <c r="P404" s="325"/>
      <c r="Q404" s="156" t="str">
        <f>IF(N404="","",VLOOKUP(J404,Raumgruppen_Leistungswerte!$B$5:$F$35,5,FALSE))</f>
        <v/>
      </c>
      <c r="R404" s="157" t="str">
        <f t="shared" si="59"/>
        <v/>
      </c>
      <c r="S404" s="445" t="str">
        <f t="shared" si="60"/>
        <v/>
      </c>
      <c r="T404" s="78" t="str">
        <f>IF(K404="NV","",IF(VLOOKUP(M404,'R_Häufigkeit_Faktoren UHR'!$B$4:$I$24,8,FALSE)=0,"",VLOOKUP(M404,'R_Häufigkeit_Faktoren UHR'!$B$4:$I$24,8,FALSE)))</f>
        <v/>
      </c>
      <c r="U404" s="156" t="str">
        <f t="shared" si="61"/>
        <v/>
      </c>
      <c r="V404" s="427"/>
      <c r="W404" s="12" t="str">
        <f>IF(T404="","",VLOOKUP(J404,Raumgruppen_Leistungswerte!$B$5:$F$35,5,FALSE))</f>
        <v/>
      </c>
      <c r="X404" s="156" t="str">
        <f t="shared" si="62"/>
        <v/>
      </c>
      <c r="Y404" s="446" t="str">
        <f t="shared" si="63"/>
        <v/>
      </c>
      <c r="Z404" s="158" t="str">
        <f t="shared" si="2"/>
        <v/>
      </c>
      <c r="AA404" s="23" t="str">
        <f t="shared" si="9"/>
        <v/>
      </c>
      <c r="AB404" s="445" t="str">
        <f t="shared" si="10"/>
        <v/>
      </c>
      <c r="AC404" s="123"/>
    </row>
    <row r="405" spans="1:29" ht="15" customHeight="1"/>
    <row r="406" spans="1:29">
      <c r="A406" s="290" t="s">
        <v>194</v>
      </c>
      <c r="K406" s="321" t="s">
        <v>14</v>
      </c>
      <c r="O406" s="159"/>
      <c r="AA406" s="25"/>
      <c r="AB406" s="25"/>
    </row>
    <row r="407" spans="1:29" ht="12" customHeight="1">
      <c r="A407" s="26"/>
      <c r="B407" s="26"/>
      <c r="D407" s="26"/>
      <c r="E407" s="26"/>
      <c r="F407" s="27"/>
      <c r="G407" s="27"/>
      <c r="H407" s="28"/>
      <c r="I407" s="29"/>
      <c r="J407" s="29"/>
      <c r="K407" s="321" t="s">
        <v>173</v>
      </c>
      <c r="L407" s="33"/>
      <c r="M407" s="24"/>
      <c r="N407" s="24"/>
      <c r="O407" s="29"/>
      <c r="P407" s="24"/>
      <c r="Q407" s="24"/>
      <c r="R407" s="24"/>
      <c r="S407" s="24"/>
    </row>
    <row r="408" spans="1:29" ht="12" customHeight="1">
      <c r="A408" s="26" t="s">
        <v>16</v>
      </c>
      <c r="B408" s="26"/>
      <c r="D408" s="26"/>
      <c r="E408" s="26"/>
      <c r="F408" s="27"/>
      <c r="G408" s="27"/>
      <c r="H408" s="28"/>
      <c r="I408" s="29"/>
      <c r="J408" s="29"/>
      <c r="K408" s="33"/>
      <c r="L408" s="33"/>
      <c r="M408" s="24"/>
      <c r="N408" s="24"/>
      <c r="O408" s="29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33"/>
      <c r="AB408" s="33"/>
    </row>
    <row r="410" spans="1:29" ht="15.6">
      <c r="A410" s="35"/>
    </row>
  </sheetData>
  <sheetProtection algorithmName="SHA-512" hashValue="wnbUBaTFiIkwabsZZPI9GRsE08CopYnXpe6x41di4pOK+OLL8NOpRImDDv9gtYv4eF5qbLd22OJgX949tQmYCQ==" saltValue="hLo5nYVR+3PX2trSm4ta+A==" spinCount="100000" sheet="1" autoFilter="0"/>
  <autoFilter ref="A3:AC404" xr:uid="{00000000-0009-0000-0000-000003000000}">
    <sortState xmlns:xlrd2="http://schemas.microsoft.com/office/spreadsheetml/2017/richdata2" ref="A15:AC353">
      <sortCondition ref="F3:F404"/>
    </sortState>
  </autoFilter>
  <mergeCells count="3">
    <mergeCell ref="N2:S2"/>
    <mergeCell ref="T2:Y2"/>
    <mergeCell ref="Z2:AB2"/>
  </mergeCells>
  <dataValidations count="1">
    <dataValidation type="list" allowBlank="1" showInputMessage="1" showErrorMessage="1" sqref="K5:K404" xr:uid="{CCB3352E-EACA-4021-9691-8DCC53C45A5F}">
      <formula1>RA</formula1>
    </dataValidation>
  </dataValidations>
  <pageMargins left="0.70866141732283472" right="0.70866141732283472" top="0.56000000000000005" bottom="0.56999999999999995" header="0.19" footer="0.13"/>
  <pageSetup paperSize="9" scale="62" fitToHeight="0" orientation="landscape" r:id="rId1"/>
  <headerFooter>
    <oddHeader>&amp;L&amp;"Arial,Fett"Raumbuch
&amp;A&amp;C&amp;8
&amp;R&amp;"Arial,Fett"UNIVERSITÄTSKLINIKUM AACHEN&amp;"Arial,Standard"
Geschäftsbereich Betriebe</oddHeader>
    <oddFooter>&amp;L&amp;8Erstellt: &amp;D
Gez. U. Bardenheuer&amp;R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BB241"/>
  <sheetViews>
    <sheetView view="pageBreakPreview" zoomScale="90" zoomScaleNormal="100" zoomScaleSheetLayoutView="90" workbookViewId="0">
      <pane xSplit="4" ySplit="7" topLeftCell="E8" activePane="bottomRight" state="frozen"/>
      <selection activeCell="A2" sqref="A2:E2"/>
      <selection pane="topRight" activeCell="A2" sqref="A2:E2"/>
      <selection pane="bottomLeft" activeCell="A2" sqref="A2:E2"/>
      <selection pane="bottomRight" activeCell="D64" sqref="D64"/>
    </sheetView>
  </sheetViews>
  <sheetFormatPr baseColWidth="10" defaultColWidth="11.44140625" defaultRowHeight="15.6"/>
  <cols>
    <col min="1" max="1" width="3.88671875" style="264" customWidth="1"/>
    <col min="2" max="2" width="3.109375" style="271" customWidth="1"/>
    <col min="3" max="3" width="6.33203125" style="39" customWidth="1"/>
    <col min="4" max="4" width="54.88671875" style="36" customWidth="1"/>
    <col min="5" max="5" width="14.77734375" style="36" customWidth="1"/>
    <col min="6" max="6" width="14.77734375" style="38" customWidth="1"/>
    <col min="7" max="7" width="1.6640625" style="37" customWidth="1"/>
    <col min="8" max="8" width="9.44140625" style="38" customWidth="1"/>
    <col min="9" max="9" width="11.44140625" style="38" customWidth="1"/>
    <col min="10" max="10" width="2.44140625" style="264" customWidth="1"/>
    <col min="11" max="54" width="11.44140625" style="264"/>
    <col min="55" max="16384" width="11.44140625" style="36"/>
  </cols>
  <sheetData>
    <row r="1" spans="1:54" s="264" customFormat="1" ht="21">
      <c r="B1" s="400" t="s">
        <v>119</v>
      </c>
      <c r="C1" s="400"/>
      <c r="D1" s="400"/>
      <c r="F1" s="265"/>
      <c r="G1" s="266"/>
      <c r="H1" s="265"/>
      <c r="I1" s="265"/>
    </row>
    <row r="2" spans="1:54" s="264" customFormat="1" ht="6.75" customHeight="1">
      <c r="B2" s="401"/>
      <c r="C2" s="401"/>
      <c r="D2" s="401"/>
      <c r="F2" s="265"/>
      <c r="G2" s="266"/>
      <c r="H2" s="265"/>
      <c r="I2" s="265"/>
    </row>
    <row r="3" spans="1:54" ht="21.75" customHeight="1">
      <c r="B3" s="404" t="s">
        <v>118</v>
      </c>
      <c r="C3" s="404"/>
      <c r="D3" s="405"/>
      <c r="E3" s="399" t="s">
        <v>117</v>
      </c>
      <c r="F3" s="399"/>
      <c r="G3" s="399"/>
      <c r="H3" s="399"/>
      <c r="I3" s="399"/>
    </row>
    <row r="4" spans="1:54" ht="21.75" customHeight="1">
      <c r="B4" s="404"/>
      <c r="C4" s="404"/>
      <c r="D4" s="405"/>
      <c r="E4" s="399"/>
      <c r="F4" s="399"/>
      <c r="G4" s="399"/>
      <c r="H4" s="399"/>
      <c r="I4" s="399"/>
    </row>
    <row r="5" spans="1:54" ht="21.75" customHeight="1">
      <c r="B5" s="404"/>
      <c r="C5" s="404"/>
      <c r="D5" s="405"/>
      <c r="E5" s="382" t="s">
        <v>26</v>
      </c>
      <c r="F5" s="383"/>
      <c r="G5" s="57"/>
      <c r="H5" s="382" t="s">
        <v>116</v>
      </c>
      <c r="I5" s="383"/>
    </row>
    <row r="6" spans="1:54">
      <c r="B6" s="406"/>
      <c r="C6" s="406"/>
      <c r="D6" s="407"/>
      <c r="E6" s="56" t="s">
        <v>115</v>
      </c>
      <c r="F6" s="55" t="s">
        <v>114</v>
      </c>
      <c r="G6" s="42"/>
      <c r="H6" s="56" t="s">
        <v>115</v>
      </c>
      <c r="I6" s="55" t="s">
        <v>114</v>
      </c>
    </row>
    <row r="7" spans="1:54" ht="56.4" customHeight="1">
      <c r="B7" s="408" t="s">
        <v>208</v>
      </c>
      <c r="C7" s="408"/>
      <c r="D7" s="409"/>
      <c r="E7" s="283">
        <v>1</v>
      </c>
      <c r="F7" s="284"/>
      <c r="G7" s="285"/>
      <c r="H7" s="283">
        <v>1</v>
      </c>
      <c r="I7" s="284"/>
    </row>
    <row r="8" spans="1:54" ht="27" customHeight="1">
      <c r="B8" s="268" t="s">
        <v>113</v>
      </c>
      <c r="C8" s="402" t="s">
        <v>112</v>
      </c>
      <c r="D8" s="403"/>
      <c r="E8" s="148"/>
      <c r="F8" s="149"/>
      <c r="G8" s="42"/>
      <c r="H8" s="384"/>
      <c r="I8" s="385"/>
    </row>
    <row r="9" spans="1:54" s="155" customFormat="1" ht="29.25" customHeight="1">
      <c r="A9" s="278"/>
      <c r="B9" s="269"/>
      <c r="C9" s="150" t="s">
        <v>111</v>
      </c>
      <c r="D9" s="151" t="s">
        <v>110</v>
      </c>
      <c r="E9" s="152"/>
      <c r="F9" s="153">
        <f>E9*$F$7</f>
        <v>0</v>
      </c>
      <c r="G9" s="154"/>
      <c r="H9" s="152"/>
      <c r="I9" s="153">
        <f>H9*$I$7</f>
        <v>0</v>
      </c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</row>
    <row r="10" spans="1:54" s="155" customFormat="1" ht="29.25" customHeight="1">
      <c r="A10" s="278"/>
      <c r="B10" s="269"/>
      <c r="C10" s="150" t="s">
        <v>109</v>
      </c>
      <c r="D10" s="151" t="s">
        <v>108</v>
      </c>
      <c r="E10" s="152"/>
      <c r="F10" s="153">
        <f t="shared" ref="F10:F14" si="0">E10*$F$7</f>
        <v>0</v>
      </c>
      <c r="G10" s="154"/>
      <c r="H10" s="152"/>
      <c r="I10" s="153">
        <f t="shared" ref="I10:I14" si="1">H10*$I$7</f>
        <v>0</v>
      </c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</row>
    <row r="11" spans="1:54" s="155" customFormat="1" ht="29.25" customHeight="1">
      <c r="A11" s="278"/>
      <c r="B11" s="269"/>
      <c r="C11" s="150" t="s">
        <v>107</v>
      </c>
      <c r="D11" s="151" t="s">
        <v>106</v>
      </c>
      <c r="E11" s="152"/>
      <c r="F11" s="153">
        <f t="shared" si="0"/>
        <v>0</v>
      </c>
      <c r="G11" s="154"/>
      <c r="H11" s="152"/>
      <c r="I11" s="153">
        <f t="shared" si="1"/>
        <v>0</v>
      </c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</row>
    <row r="12" spans="1:54" s="155" customFormat="1" ht="29.25" customHeight="1">
      <c r="A12" s="278"/>
      <c r="B12" s="269"/>
      <c r="C12" s="150" t="s">
        <v>105</v>
      </c>
      <c r="D12" s="151" t="s">
        <v>104</v>
      </c>
      <c r="E12" s="152"/>
      <c r="F12" s="153">
        <f t="shared" si="0"/>
        <v>0</v>
      </c>
      <c r="G12" s="154"/>
      <c r="H12" s="152"/>
      <c r="I12" s="153">
        <f t="shared" si="1"/>
        <v>0</v>
      </c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</row>
    <row r="13" spans="1:54" s="155" customFormat="1" ht="29.25" customHeight="1">
      <c r="A13" s="278"/>
      <c r="B13" s="269"/>
      <c r="C13" s="150" t="s">
        <v>103</v>
      </c>
      <c r="D13" s="151" t="s">
        <v>102</v>
      </c>
      <c r="E13" s="152"/>
      <c r="F13" s="153">
        <f t="shared" si="0"/>
        <v>0</v>
      </c>
      <c r="G13" s="154"/>
      <c r="H13" s="152"/>
      <c r="I13" s="153">
        <f t="shared" si="1"/>
        <v>0</v>
      </c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</row>
    <row r="14" spans="1:54" s="155" customFormat="1" ht="29.25" customHeight="1">
      <c r="A14" s="278"/>
      <c r="B14" s="269"/>
      <c r="C14" s="150" t="s">
        <v>101</v>
      </c>
      <c r="D14" s="151" t="s">
        <v>197</v>
      </c>
      <c r="E14" s="152"/>
      <c r="F14" s="153">
        <f t="shared" si="0"/>
        <v>0</v>
      </c>
      <c r="G14" s="154"/>
      <c r="H14" s="152"/>
      <c r="I14" s="153">
        <f t="shared" si="1"/>
        <v>0</v>
      </c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8"/>
      <c r="AU14" s="278"/>
      <c r="AV14" s="278"/>
      <c r="AW14" s="278"/>
      <c r="AX14" s="278"/>
      <c r="AY14" s="278"/>
      <c r="AZ14" s="278"/>
      <c r="BA14" s="278"/>
      <c r="BB14" s="278"/>
    </row>
    <row r="15" spans="1:54" ht="27" customHeight="1">
      <c r="B15" s="410" t="s">
        <v>100</v>
      </c>
      <c r="C15" s="410"/>
      <c r="D15" s="411"/>
      <c r="E15" s="48">
        <f>SUM(E9:E14)</f>
        <v>0</v>
      </c>
      <c r="F15" s="47">
        <f>SUM(F9:F14)</f>
        <v>0</v>
      </c>
      <c r="G15" s="42"/>
      <c r="H15" s="48">
        <f>SUM(H9:H14)</f>
        <v>0</v>
      </c>
      <c r="I15" s="47">
        <f>SUM(I9:I14)</f>
        <v>0</v>
      </c>
    </row>
    <row r="16" spans="1:54" ht="27" customHeight="1">
      <c r="B16" s="268" t="s">
        <v>99</v>
      </c>
      <c r="C16" s="402" t="s">
        <v>98</v>
      </c>
      <c r="D16" s="403"/>
      <c r="E16" s="54"/>
      <c r="F16" s="47"/>
      <c r="G16" s="42"/>
      <c r="H16" s="54"/>
      <c r="I16" s="47"/>
    </row>
    <row r="17" spans="1:54" s="155" customFormat="1" ht="29.25" customHeight="1">
      <c r="A17" s="278"/>
      <c r="B17" s="270"/>
      <c r="C17" s="150" t="s">
        <v>97</v>
      </c>
      <c r="D17" s="151" t="s">
        <v>96</v>
      </c>
      <c r="E17" s="152"/>
      <c r="F17" s="153">
        <f t="shared" ref="F17:F31" si="2">E17*$F$7</f>
        <v>0</v>
      </c>
      <c r="G17" s="154"/>
      <c r="H17" s="152"/>
      <c r="I17" s="153">
        <f t="shared" ref="I17:I31" si="3">H17*$I$7</f>
        <v>0</v>
      </c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278"/>
      <c r="AO17" s="278"/>
      <c r="AP17" s="278"/>
      <c r="AQ17" s="278"/>
      <c r="AR17" s="278"/>
      <c r="AS17" s="278"/>
      <c r="AT17" s="278"/>
      <c r="AU17" s="278"/>
      <c r="AV17" s="278"/>
      <c r="AW17" s="278"/>
      <c r="AX17" s="278"/>
      <c r="AY17" s="278"/>
      <c r="AZ17" s="278"/>
      <c r="BA17" s="278"/>
      <c r="BB17" s="278"/>
    </row>
    <row r="18" spans="1:54" s="155" customFormat="1" ht="29.25" customHeight="1">
      <c r="A18" s="278"/>
      <c r="B18" s="270"/>
      <c r="C18" s="150" t="s">
        <v>95</v>
      </c>
      <c r="D18" s="151" t="s">
        <v>94</v>
      </c>
      <c r="E18" s="152"/>
      <c r="F18" s="153">
        <f t="shared" si="2"/>
        <v>0</v>
      </c>
      <c r="G18" s="154"/>
      <c r="H18" s="152"/>
      <c r="I18" s="153">
        <f t="shared" si="3"/>
        <v>0</v>
      </c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278"/>
      <c r="AO18" s="278"/>
      <c r="AP18" s="278"/>
      <c r="AQ18" s="278"/>
      <c r="AR18" s="278"/>
      <c r="AS18" s="278"/>
      <c r="AT18" s="278"/>
      <c r="AU18" s="278"/>
      <c r="AV18" s="278"/>
      <c r="AW18" s="278"/>
      <c r="AX18" s="278"/>
      <c r="AY18" s="278"/>
      <c r="AZ18" s="278"/>
      <c r="BA18" s="278"/>
      <c r="BB18" s="278"/>
    </row>
    <row r="19" spans="1:54" s="155" customFormat="1" ht="29.25" customHeight="1">
      <c r="A19" s="278"/>
      <c r="B19" s="270"/>
      <c r="C19" s="150" t="s">
        <v>93</v>
      </c>
      <c r="D19" s="151" t="s">
        <v>92</v>
      </c>
      <c r="E19" s="152"/>
      <c r="F19" s="153">
        <f t="shared" si="2"/>
        <v>0</v>
      </c>
      <c r="G19" s="154"/>
      <c r="H19" s="152"/>
      <c r="I19" s="153">
        <f t="shared" si="3"/>
        <v>0</v>
      </c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</row>
    <row r="20" spans="1:54" s="155" customFormat="1" ht="29.25" customHeight="1">
      <c r="A20" s="278"/>
      <c r="B20" s="270"/>
      <c r="C20" s="150" t="s">
        <v>91</v>
      </c>
      <c r="D20" s="151" t="s">
        <v>90</v>
      </c>
      <c r="E20" s="152"/>
      <c r="F20" s="153">
        <f t="shared" si="2"/>
        <v>0</v>
      </c>
      <c r="G20" s="154"/>
      <c r="H20" s="152"/>
      <c r="I20" s="153">
        <f t="shared" si="3"/>
        <v>0</v>
      </c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278"/>
      <c r="AO20" s="278"/>
      <c r="AP20" s="278"/>
      <c r="AQ20" s="278"/>
      <c r="AR20" s="278"/>
      <c r="AS20" s="278"/>
      <c r="AT20" s="278"/>
      <c r="AU20" s="278"/>
      <c r="AV20" s="278"/>
      <c r="AW20" s="278"/>
      <c r="AX20" s="278"/>
      <c r="AY20" s="278"/>
      <c r="AZ20" s="278"/>
      <c r="BA20" s="278"/>
      <c r="BB20" s="278"/>
    </row>
    <row r="21" spans="1:54" s="155" customFormat="1" ht="29.25" customHeight="1">
      <c r="A21" s="278"/>
      <c r="B21" s="270"/>
      <c r="C21" s="150" t="s">
        <v>89</v>
      </c>
      <c r="D21" s="151" t="s">
        <v>88</v>
      </c>
      <c r="E21" s="152"/>
      <c r="F21" s="153">
        <f t="shared" si="2"/>
        <v>0</v>
      </c>
      <c r="G21" s="154"/>
      <c r="H21" s="152"/>
      <c r="I21" s="153">
        <f t="shared" si="3"/>
        <v>0</v>
      </c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</row>
    <row r="22" spans="1:54" s="155" customFormat="1" ht="29.25" customHeight="1">
      <c r="A22" s="278"/>
      <c r="B22" s="270"/>
      <c r="C22" s="150" t="s">
        <v>87</v>
      </c>
      <c r="D22" s="151" t="s">
        <v>86</v>
      </c>
      <c r="E22" s="152"/>
      <c r="F22" s="153">
        <f t="shared" si="2"/>
        <v>0</v>
      </c>
      <c r="G22" s="154"/>
      <c r="H22" s="152"/>
      <c r="I22" s="153">
        <f t="shared" si="3"/>
        <v>0</v>
      </c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8"/>
      <c r="AQ22" s="278"/>
      <c r="AR22" s="278"/>
      <c r="AS22" s="278"/>
      <c r="AT22" s="278"/>
      <c r="AU22" s="278"/>
      <c r="AV22" s="278"/>
      <c r="AW22" s="278"/>
      <c r="AX22" s="278"/>
      <c r="AY22" s="278"/>
      <c r="AZ22" s="278"/>
      <c r="BA22" s="278"/>
      <c r="BB22" s="278"/>
    </row>
    <row r="23" spans="1:54" s="155" customFormat="1" ht="29.25" customHeight="1">
      <c r="A23" s="278"/>
      <c r="B23" s="270"/>
      <c r="C23" s="150" t="s">
        <v>85</v>
      </c>
      <c r="D23" s="151" t="s">
        <v>84</v>
      </c>
      <c r="E23" s="152"/>
      <c r="F23" s="153">
        <f t="shared" si="2"/>
        <v>0</v>
      </c>
      <c r="G23" s="154"/>
      <c r="H23" s="152"/>
      <c r="I23" s="153">
        <f t="shared" si="3"/>
        <v>0</v>
      </c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</row>
    <row r="24" spans="1:54" s="278" customFormat="1" ht="29.25" customHeight="1">
      <c r="B24" s="270"/>
      <c r="C24" s="270" t="s">
        <v>83</v>
      </c>
      <c r="D24" s="279" t="s">
        <v>82</v>
      </c>
      <c r="E24" s="152"/>
      <c r="F24" s="153">
        <f t="shared" si="2"/>
        <v>0</v>
      </c>
      <c r="G24" s="154"/>
      <c r="H24" s="152"/>
      <c r="I24" s="153">
        <f t="shared" si="3"/>
        <v>0</v>
      </c>
    </row>
    <row r="25" spans="1:54" s="278" customFormat="1" ht="29.25" customHeight="1">
      <c r="B25" s="270"/>
      <c r="C25" s="270" t="s">
        <v>81</v>
      </c>
      <c r="D25" s="279" t="s">
        <v>80</v>
      </c>
      <c r="E25" s="152"/>
      <c r="F25" s="153">
        <f t="shared" si="2"/>
        <v>0</v>
      </c>
      <c r="G25" s="154"/>
      <c r="H25" s="152"/>
      <c r="I25" s="153">
        <f t="shared" si="3"/>
        <v>0</v>
      </c>
    </row>
    <row r="26" spans="1:54" s="278" customFormat="1" ht="29.25" customHeight="1">
      <c r="B26" s="270"/>
      <c r="C26" s="270" t="s">
        <v>79</v>
      </c>
      <c r="D26" s="279" t="s">
        <v>78</v>
      </c>
      <c r="E26" s="152"/>
      <c r="F26" s="153">
        <f t="shared" si="2"/>
        <v>0</v>
      </c>
      <c r="G26" s="154"/>
      <c r="H26" s="152"/>
      <c r="I26" s="153">
        <f t="shared" si="3"/>
        <v>0</v>
      </c>
    </row>
    <row r="27" spans="1:54" s="278" customFormat="1" ht="29.25" customHeight="1">
      <c r="B27" s="270"/>
      <c r="C27" s="270" t="s">
        <v>77</v>
      </c>
      <c r="D27" s="279" t="s">
        <v>76</v>
      </c>
      <c r="E27" s="152"/>
      <c r="F27" s="153">
        <f t="shared" si="2"/>
        <v>0</v>
      </c>
      <c r="G27" s="154"/>
      <c r="H27" s="152"/>
      <c r="I27" s="153">
        <f t="shared" si="3"/>
        <v>0</v>
      </c>
    </row>
    <row r="28" spans="1:54" s="278" customFormat="1" ht="29.25" customHeight="1">
      <c r="B28" s="270"/>
      <c r="C28" s="270" t="s">
        <v>75</v>
      </c>
      <c r="D28" s="279" t="s">
        <v>74</v>
      </c>
      <c r="E28" s="152"/>
      <c r="F28" s="153">
        <f t="shared" si="2"/>
        <v>0</v>
      </c>
      <c r="G28" s="154"/>
      <c r="H28" s="152"/>
      <c r="I28" s="153">
        <f t="shared" si="3"/>
        <v>0</v>
      </c>
    </row>
    <row r="29" spans="1:54" s="278" customFormat="1" ht="29.25" customHeight="1">
      <c r="B29" s="270"/>
      <c r="C29" s="270" t="s">
        <v>73</v>
      </c>
      <c r="D29" s="279" t="s">
        <v>206</v>
      </c>
      <c r="E29" s="152"/>
      <c r="F29" s="153">
        <f t="shared" ref="F29:F30" si="4">E29*$F$7</f>
        <v>0</v>
      </c>
      <c r="G29" s="154"/>
      <c r="H29" s="152"/>
      <c r="I29" s="153">
        <f t="shared" ref="I29:I30" si="5">H29*$I$7</f>
        <v>0</v>
      </c>
    </row>
    <row r="30" spans="1:54" s="278" customFormat="1" ht="29.25" customHeight="1">
      <c r="B30" s="270"/>
      <c r="C30" s="270" t="s">
        <v>204</v>
      </c>
      <c r="D30" s="279" t="s">
        <v>207</v>
      </c>
      <c r="E30" s="152"/>
      <c r="F30" s="153">
        <f t="shared" si="4"/>
        <v>0</v>
      </c>
      <c r="G30" s="154"/>
      <c r="H30" s="152"/>
      <c r="I30" s="153">
        <f t="shared" si="5"/>
        <v>0</v>
      </c>
    </row>
    <row r="31" spans="1:54" s="278" customFormat="1" ht="29.25" customHeight="1">
      <c r="B31" s="270"/>
      <c r="C31" s="270" t="s">
        <v>205</v>
      </c>
      <c r="D31" s="279" t="s">
        <v>198</v>
      </c>
      <c r="E31" s="152"/>
      <c r="F31" s="153">
        <f t="shared" si="2"/>
        <v>0</v>
      </c>
      <c r="G31" s="154"/>
      <c r="H31" s="152"/>
      <c r="I31" s="153">
        <f t="shared" si="3"/>
        <v>0</v>
      </c>
    </row>
    <row r="32" spans="1:54" s="264" customFormat="1" ht="27" customHeight="1">
      <c r="B32" s="395" t="s">
        <v>72</v>
      </c>
      <c r="C32" s="395"/>
      <c r="D32" s="396"/>
      <c r="E32" s="54">
        <f>SUM(E17:E31)</f>
        <v>0</v>
      </c>
      <c r="F32" s="47">
        <f>SUM(F17:F31)</f>
        <v>0</v>
      </c>
      <c r="G32" s="42"/>
      <c r="H32" s="54">
        <f>SUM(H17:H31)</f>
        <v>0</v>
      </c>
      <c r="I32" s="47">
        <f>SUM(I17:I31)</f>
        <v>0</v>
      </c>
    </row>
    <row r="33" spans="2:9" s="264" customFormat="1" ht="27" customHeight="1">
      <c r="B33" s="268" t="s">
        <v>71</v>
      </c>
      <c r="C33" s="389" t="s">
        <v>70</v>
      </c>
      <c r="D33" s="394"/>
      <c r="E33" s="54"/>
      <c r="F33" s="47"/>
      <c r="G33" s="42"/>
      <c r="H33" s="54"/>
      <c r="I33" s="47"/>
    </row>
    <row r="34" spans="2:9" s="278" customFormat="1" ht="29.25" customHeight="1">
      <c r="B34" s="270"/>
      <c r="C34" s="270" t="s">
        <v>69</v>
      </c>
      <c r="D34" s="279" t="s">
        <v>68</v>
      </c>
      <c r="E34" s="152"/>
      <c r="F34" s="153">
        <f t="shared" ref="F34:F35" si="6">E34*$F$7</f>
        <v>0</v>
      </c>
      <c r="G34" s="154"/>
      <c r="H34" s="152"/>
      <c r="I34" s="153">
        <f t="shared" ref="I34:I35" si="7">H34*$I$7</f>
        <v>0</v>
      </c>
    </row>
    <row r="35" spans="2:9" s="278" customFormat="1" ht="29.25" customHeight="1">
      <c r="B35" s="270"/>
      <c r="C35" s="270" t="s">
        <v>67</v>
      </c>
      <c r="D35" s="279" t="s">
        <v>66</v>
      </c>
      <c r="E35" s="152"/>
      <c r="F35" s="153">
        <f t="shared" si="6"/>
        <v>0</v>
      </c>
      <c r="G35" s="154"/>
      <c r="H35" s="152"/>
      <c r="I35" s="153">
        <f t="shared" si="7"/>
        <v>0</v>
      </c>
    </row>
    <row r="36" spans="2:9" s="264" customFormat="1" ht="27" customHeight="1">
      <c r="B36" s="395" t="s">
        <v>65</v>
      </c>
      <c r="C36" s="395"/>
      <c r="D36" s="396"/>
      <c r="E36" s="54">
        <f>SUM(E34:E35)</f>
        <v>0</v>
      </c>
      <c r="F36" s="47">
        <f>SUM(F34:F35)</f>
        <v>0</v>
      </c>
      <c r="G36" s="42"/>
      <c r="H36" s="54">
        <f>SUM(H34:H35)</f>
        <v>0</v>
      </c>
      <c r="I36" s="47">
        <f>SUM(I34:I35)</f>
        <v>0</v>
      </c>
    </row>
    <row r="37" spans="2:9" s="264" customFormat="1" ht="27" customHeight="1">
      <c r="B37" s="395" t="s">
        <v>64</v>
      </c>
      <c r="C37" s="395"/>
      <c r="D37" s="396"/>
      <c r="E37" s="44">
        <f>E36+E32+E15</f>
        <v>0</v>
      </c>
      <c r="F37" s="53">
        <f>F36+F32+F15+F7</f>
        <v>0</v>
      </c>
      <c r="G37" s="42"/>
      <c r="H37" s="44">
        <f>H36+H32+H15</f>
        <v>0</v>
      </c>
      <c r="I37" s="53">
        <f>I36+I32+I15+I7</f>
        <v>0</v>
      </c>
    </row>
    <row r="38" spans="2:9" s="264" customFormat="1" ht="6.75" customHeight="1">
      <c r="B38" s="268"/>
      <c r="C38" s="268"/>
      <c r="D38" s="280"/>
      <c r="E38" s="52"/>
      <c r="F38" s="51"/>
      <c r="G38" s="42"/>
      <c r="H38" s="52"/>
      <c r="I38" s="51"/>
    </row>
    <row r="39" spans="2:9" s="264" customFormat="1" ht="27" customHeight="1">
      <c r="B39" s="268" t="s">
        <v>63</v>
      </c>
      <c r="C39" s="389" t="s">
        <v>62</v>
      </c>
      <c r="D39" s="394"/>
      <c r="E39" s="54"/>
      <c r="F39" s="47"/>
      <c r="G39" s="42"/>
      <c r="H39" s="54"/>
      <c r="I39" s="47"/>
    </row>
    <row r="40" spans="2:9" s="278" customFormat="1" ht="29.25" customHeight="1">
      <c r="B40" s="270"/>
      <c r="C40" s="270" t="s">
        <v>61</v>
      </c>
      <c r="D40" s="279" t="s">
        <v>60</v>
      </c>
      <c r="E40" s="152"/>
      <c r="F40" s="153">
        <f t="shared" ref="F40:F48" si="8">E40*$F$7</f>
        <v>0</v>
      </c>
      <c r="G40" s="154"/>
      <c r="H40" s="152"/>
      <c r="I40" s="153">
        <f t="shared" ref="I40:I48" si="9">H40*$I$7</f>
        <v>0</v>
      </c>
    </row>
    <row r="41" spans="2:9" s="278" customFormat="1" ht="29.25" customHeight="1">
      <c r="B41" s="270"/>
      <c r="C41" s="270" t="s">
        <v>59</v>
      </c>
      <c r="D41" s="279" t="s">
        <v>58</v>
      </c>
      <c r="E41" s="152"/>
      <c r="F41" s="153">
        <f t="shared" si="8"/>
        <v>0</v>
      </c>
      <c r="G41" s="154"/>
      <c r="H41" s="152"/>
      <c r="I41" s="153">
        <f t="shared" si="9"/>
        <v>0</v>
      </c>
    </row>
    <row r="42" spans="2:9" s="278" customFormat="1" ht="29.25" customHeight="1">
      <c r="B42" s="270"/>
      <c r="C42" s="270" t="s">
        <v>57</v>
      </c>
      <c r="D42" s="279" t="s">
        <v>56</v>
      </c>
      <c r="E42" s="152"/>
      <c r="F42" s="153">
        <f t="shared" si="8"/>
        <v>0</v>
      </c>
      <c r="G42" s="154"/>
      <c r="H42" s="152"/>
      <c r="I42" s="153">
        <f t="shared" si="9"/>
        <v>0</v>
      </c>
    </row>
    <row r="43" spans="2:9" s="278" customFormat="1" ht="29.25" customHeight="1">
      <c r="B43" s="270"/>
      <c r="C43" s="270" t="s">
        <v>55</v>
      </c>
      <c r="D43" s="279" t="s">
        <v>54</v>
      </c>
      <c r="E43" s="152"/>
      <c r="F43" s="153">
        <f t="shared" si="8"/>
        <v>0</v>
      </c>
      <c r="G43" s="154"/>
      <c r="H43" s="152"/>
      <c r="I43" s="153">
        <f t="shared" si="9"/>
        <v>0</v>
      </c>
    </row>
    <row r="44" spans="2:9" s="278" customFormat="1" ht="29.25" customHeight="1">
      <c r="B44" s="270"/>
      <c r="C44" s="270" t="s">
        <v>53</v>
      </c>
      <c r="D44" s="279" t="s">
        <v>52</v>
      </c>
      <c r="E44" s="152"/>
      <c r="F44" s="153">
        <f t="shared" si="8"/>
        <v>0</v>
      </c>
      <c r="G44" s="154"/>
      <c r="H44" s="152"/>
      <c r="I44" s="153">
        <f t="shared" si="9"/>
        <v>0</v>
      </c>
    </row>
    <row r="45" spans="2:9" s="278" customFormat="1" ht="29.25" customHeight="1">
      <c r="B45" s="270"/>
      <c r="C45" s="270" t="s">
        <v>51</v>
      </c>
      <c r="D45" s="279" t="s">
        <v>50</v>
      </c>
      <c r="E45" s="152"/>
      <c r="F45" s="153">
        <f t="shared" si="8"/>
        <v>0</v>
      </c>
      <c r="G45" s="154"/>
      <c r="H45" s="152"/>
      <c r="I45" s="153">
        <f t="shared" si="9"/>
        <v>0</v>
      </c>
    </row>
    <row r="46" spans="2:9" s="278" customFormat="1" ht="29.25" customHeight="1">
      <c r="B46" s="270"/>
      <c r="C46" s="270" t="s">
        <v>49</v>
      </c>
      <c r="D46" s="279" t="s">
        <v>48</v>
      </c>
      <c r="E46" s="152"/>
      <c r="F46" s="153">
        <f t="shared" si="8"/>
        <v>0</v>
      </c>
      <c r="G46" s="154"/>
      <c r="H46" s="152"/>
      <c r="I46" s="153">
        <f t="shared" si="9"/>
        <v>0</v>
      </c>
    </row>
    <row r="47" spans="2:9" s="278" customFormat="1" ht="29.25" customHeight="1">
      <c r="B47" s="270"/>
      <c r="C47" s="270" t="s">
        <v>47</v>
      </c>
      <c r="D47" s="279" t="s">
        <v>46</v>
      </c>
      <c r="E47" s="152"/>
      <c r="F47" s="153">
        <f t="shared" si="8"/>
        <v>0</v>
      </c>
      <c r="G47" s="154"/>
      <c r="H47" s="152"/>
      <c r="I47" s="153">
        <f t="shared" si="9"/>
        <v>0</v>
      </c>
    </row>
    <row r="48" spans="2:9" s="278" customFormat="1" ht="29.25" customHeight="1">
      <c r="B48" s="270"/>
      <c r="C48" s="270" t="s">
        <v>45</v>
      </c>
      <c r="D48" s="279" t="s">
        <v>44</v>
      </c>
      <c r="E48" s="152"/>
      <c r="F48" s="153">
        <f t="shared" si="8"/>
        <v>0</v>
      </c>
      <c r="G48" s="154"/>
      <c r="H48" s="152"/>
      <c r="I48" s="153">
        <f t="shared" si="9"/>
        <v>0</v>
      </c>
    </row>
    <row r="49" spans="2:9" s="264" customFormat="1" ht="27" customHeight="1">
      <c r="B49" s="391" t="s">
        <v>43</v>
      </c>
      <c r="C49" s="397"/>
      <c r="D49" s="398"/>
      <c r="E49" s="48">
        <f>SUM(E40:E48)</f>
        <v>0</v>
      </c>
      <c r="F49" s="47">
        <f>SUM(F40:F48)</f>
        <v>0</v>
      </c>
      <c r="G49" s="42"/>
      <c r="H49" s="48">
        <f>SUM(H40:H48)</f>
        <v>0</v>
      </c>
      <c r="I49" s="47">
        <f>SUM(I40:I48)</f>
        <v>0</v>
      </c>
    </row>
    <row r="50" spans="2:9" s="264" customFormat="1" ht="27" customHeight="1">
      <c r="B50" s="268" t="s">
        <v>42</v>
      </c>
      <c r="C50" s="389" t="s">
        <v>41</v>
      </c>
      <c r="D50" s="394"/>
      <c r="E50" s="54"/>
      <c r="F50" s="47"/>
      <c r="G50" s="42"/>
      <c r="H50" s="54"/>
      <c r="I50" s="47"/>
    </row>
    <row r="51" spans="2:9" s="278" customFormat="1" ht="29.25" customHeight="1">
      <c r="B51" s="270"/>
      <c r="C51" s="270" t="s">
        <v>40</v>
      </c>
      <c r="D51" s="279" t="s">
        <v>39</v>
      </c>
      <c r="E51" s="152"/>
      <c r="F51" s="153">
        <f t="shared" ref="F51:F53" si="10">E51*$F$7</f>
        <v>0</v>
      </c>
      <c r="G51" s="154"/>
      <c r="H51" s="152"/>
      <c r="I51" s="153">
        <f t="shared" ref="I51:I53" si="11">H51*$I$7</f>
        <v>0</v>
      </c>
    </row>
    <row r="52" spans="2:9" s="278" customFormat="1" ht="29.25" customHeight="1">
      <c r="B52" s="270"/>
      <c r="C52" s="270" t="s">
        <v>38</v>
      </c>
      <c r="D52" s="279" t="s">
        <v>37</v>
      </c>
      <c r="E52" s="152"/>
      <c r="F52" s="153">
        <f t="shared" si="10"/>
        <v>0</v>
      </c>
      <c r="G52" s="154"/>
      <c r="H52" s="152"/>
      <c r="I52" s="153">
        <f t="shared" si="11"/>
        <v>0</v>
      </c>
    </row>
    <row r="53" spans="2:9" s="278" customFormat="1" ht="29.25" customHeight="1">
      <c r="B53" s="270"/>
      <c r="C53" s="270" t="s">
        <v>36</v>
      </c>
      <c r="D53" s="279" t="s">
        <v>35</v>
      </c>
      <c r="E53" s="152"/>
      <c r="F53" s="153">
        <f t="shared" si="10"/>
        <v>0</v>
      </c>
      <c r="G53" s="154"/>
      <c r="H53" s="152"/>
      <c r="I53" s="153">
        <f t="shared" si="11"/>
        <v>0</v>
      </c>
    </row>
    <row r="54" spans="2:9" s="264" customFormat="1" ht="27" customHeight="1">
      <c r="B54" s="390" t="s">
        <v>34</v>
      </c>
      <c r="C54" s="390"/>
      <c r="D54" s="391"/>
      <c r="E54" s="48">
        <f>SUM(E51:E53)</f>
        <v>0</v>
      </c>
      <c r="F54" s="47">
        <f>SUM(F51:F53)</f>
        <v>0</v>
      </c>
      <c r="G54" s="42"/>
      <c r="H54" s="48">
        <f>SUM(H51:H53)</f>
        <v>0</v>
      </c>
      <c r="I54" s="47">
        <f>SUM(I51:I53)</f>
        <v>0</v>
      </c>
    </row>
    <row r="55" spans="2:9" s="264" customFormat="1" ht="27" customHeight="1">
      <c r="B55" s="390" t="s">
        <v>33</v>
      </c>
      <c r="C55" s="390"/>
      <c r="D55" s="391"/>
      <c r="E55" s="50">
        <f>E54+E49+E36+E32+E15+E7</f>
        <v>1</v>
      </c>
      <c r="F55" s="49">
        <f>F54+F49+F36+F32+F15+F7</f>
        <v>0</v>
      </c>
      <c r="G55" s="42"/>
      <c r="H55" s="50">
        <f>H54+H49+H36+H32+H15+H7</f>
        <v>1</v>
      </c>
      <c r="I55" s="49">
        <f>I54+I49+I36+I32+I15+I7</f>
        <v>0</v>
      </c>
    </row>
    <row r="56" spans="2:9" s="264" customFormat="1" ht="27" customHeight="1">
      <c r="B56" s="268" t="s">
        <v>32</v>
      </c>
      <c r="C56" s="389" t="s">
        <v>31</v>
      </c>
      <c r="D56" s="394"/>
      <c r="E56" s="152"/>
      <c r="F56" s="153">
        <f>E56*F55</f>
        <v>0</v>
      </c>
      <c r="G56" s="42"/>
      <c r="H56" s="152"/>
      <c r="I56" s="153">
        <f>H56*I55</f>
        <v>0</v>
      </c>
    </row>
    <row r="57" spans="2:9" s="264" customFormat="1" ht="9" customHeight="1">
      <c r="B57" s="268"/>
      <c r="C57" s="281"/>
      <c r="D57" s="282"/>
      <c r="E57" s="46"/>
      <c r="F57" s="45"/>
      <c r="G57" s="42"/>
      <c r="H57" s="46"/>
      <c r="I57" s="45"/>
    </row>
    <row r="58" spans="2:9" s="264" customFormat="1" ht="27" customHeight="1">
      <c r="B58" s="388" t="s">
        <v>30</v>
      </c>
      <c r="C58" s="388"/>
      <c r="D58" s="389"/>
      <c r="E58" s="44"/>
      <c r="F58" s="43">
        <f>F55+F56</f>
        <v>0</v>
      </c>
      <c r="G58" s="42"/>
      <c r="H58" s="44"/>
      <c r="I58" s="43">
        <f>I55+I56</f>
        <v>0</v>
      </c>
    </row>
    <row r="59" spans="2:9" s="264" customFormat="1" ht="27" customHeight="1">
      <c r="B59" s="388" t="s">
        <v>29</v>
      </c>
      <c r="C59" s="388"/>
      <c r="D59" s="389"/>
      <c r="E59" s="44" t="str">
        <f>IF(F58=0,"",F37/F58)</f>
        <v/>
      </c>
      <c r="F59" s="43"/>
      <c r="G59" s="42"/>
      <c r="H59" s="44" t="str">
        <f>IF(I58=0,"",I37/I58)</f>
        <v/>
      </c>
      <c r="I59" s="43"/>
    </row>
    <row r="60" spans="2:9" s="264" customFormat="1" ht="27" customHeight="1">
      <c r="B60" s="392" t="s">
        <v>28</v>
      </c>
      <c r="C60" s="392"/>
      <c r="D60" s="393"/>
      <c r="E60" s="386"/>
      <c r="F60" s="387"/>
      <c r="G60" s="42"/>
      <c r="H60" s="41" t="str">
        <f>IF(I58=0,"",F58/I58)</f>
        <v/>
      </c>
      <c r="I60" s="40">
        <f>I58-F58</f>
        <v>0</v>
      </c>
    </row>
    <row r="61" spans="2:9" s="264" customFormat="1">
      <c r="B61" s="271"/>
      <c r="C61" s="271"/>
      <c r="D61" s="352">
        <f>Deckblatt!$B$20</f>
        <v>0</v>
      </c>
      <c r="E61" s="354"/>
      <c r="F61" s="331"/>
      <c r="G61" s="331"/>
      <c r="H61" s="331"/>
      <c r="I61" s="265"/>
    </row>
    <row r="62" spans="2:9" s="264" customFormat="1" ht="16.2" thickBot="1">
      <c r="B62" s="271"/>
      <c r="C62" s="271"/>
      <c r="D62" s="372"/>
      <c r="E62" s="354"/>
      <c r="F62" s="324"/>
      <c r="G62" s="266"/>
      <c r="H62" s="265"/>
      <c r="I62" s="265"/>
    </row>
    <row r="63" spans="2:9" s="264" customFormat="1">
      <c r="B63" s="271"/>
      <c r="C63" s="271"/>
      <c r="D63" s="233" t="s">
        <v>187</v>
      </c>
      <c r="E63" s="233"/>
      <c r="F63" s="324"/>
      <c r="G63" s="266"/>
      <c r="H63" s="265"/>
      <c r="I63" s="265"/>
    </row>
    <row r="64" spans="2:9" s="264" customFormat="1">
      <c r="B64" s="271"/>
      <c r="C64" s="271"/>
      <c r="D64" s="320"/>
      <c r="E64" s="234"/>
      <c r="F64" s="324"/>
      <c r="G64" s="266"/>
      <c r="H64" s="265"/>
      <c r="I64" s="265"/>
    </row>
    <row r="65" spans="2:9" s="264" customFormat="1">
      <c r="B65" s="271"/>
      <c r="C65" s="271"/>
      <c r="F65" s="265"/>
      <c r="G65" s="266"/>
      <c r="H65" s="265"/>
      <c r="I65" s="265"/>
    </row>
    <row r="66" spans="2:9" s="264" customFormat="1">
      <c r="B66" s="271"/>
      <c r="C66" s="271"/>
      <c r="F66" s="265"/>
      <c r="G66" s="266"/>
      <c r="H66" s="265"/>
      <c r="I66" s="265"/>
    </row>
    <row r="67" spans="2:9" s="264" customFormat="1">
      <c r="B67" s="271"/>
      <c r="C67" s="271"/>
      <c r="F67" s="265"/>
      <c r="G67" s="266"/>
      <c r="H67" s="265"/>
      <c r="I67" s="265"/>
    </row>
    <row r="68" spans="2:9" s="264" customFormat="1">
      <c r="B68" s="271"/>
      <c r="C68" s="271"/>
      <c r="F68" s="265"/>
      <c r="G68" s="266"/>
      <c r="H68" s="265"/>
      <c r="I68" s="265"/>
    </row>
    <row r="69" spans="2:9" s="264" customFormat="1">
      <c r="B69" s="271"/>
      <c r="C69" s="271"/>
      <c r="F69" s="265"/>
      <c r="G69" s="266"/>
      <c r="H69" s="265"/>
      <c r="I69" s="265"/>
    </row>
    <row r="70" spans="2:9" s="264" customFormat="1">
      <c r="B70" s="271"/>
      <c r="C70" s="271"/>
      <c r="F70" s="265"/>
      <c r="G70" s="266"/>
      <c r="H70" s="265"/>
      <c r="I70" s="265"/>
    </row>
    <row r="71" spans="2:9" s="264" customFormat="1">
      <c r="B71" s="271"/>
      <c r="C71" s="271"/>
      <c r="F71" s="265"/>
      <c r="G71" s="266"/>
      <c r="H71" s="265"/>
      <c r="I71" s="265"/>
    </row>
    <row r="72" spans="2:9" s="264" customFormat="1">
      <c r="B72" s="271"/>
      <c r="C72" s="271"/>
      <c r="F72" s="265"/>
      <c r="G72" s="266"/>
      <c r="H72" s="265"/>
      <c r="I72" s="265"/>
    </row>
    <row r="73" spans="2:9" s="264" customFormat="1">
      <c r="B73" s="271"/>
      <c r="C73" s="271"/>
      <c r="F73" s="265"/>
      <c r="G73" s="266"/>
      <c r="H73" s="265"/>
      <c r="I73" s="265"/>
    </row>
    <row r="74" spans="2:9" s="264" customFormat="1">
      <c r="B74" s="271"/>
      <c r="C74" s="271"/>
      <c r="F74" s="265"/>
      <c r="G74" s="266"/>
      <c r="H74" s="265"/>
      <c r="I74" s="265"/>
    </row>
    <row r="75" spans="2:9" s="264" customFormat="1">
      <c r="B75" s="271"/>
      <c r="C75" s="271"/>
      <c r="F75" s="265"/>
      <c r="G75" s="266"/>
      <c r="H75" s="265"/>
      <c r="I75" s="265"/>
    </row>
    <row r="76" spans="2:9" s="264" customFormat="1">
      <c r="B76" s="271"/>
      <c r="C76" s="271"/>
      <c r="F76" s="265"/>
      <c r="G76" s="266"/>
      <c r="H76" s="265"/>
      <c r="I76" s="265"/>
    </row>
    <row r="77" spans="2:9" s="264" customFormat="1">
      <c r="B77" s="271"/>
      <c r="C77" s="271"/>
      <c r="F77" s="265"/>
      <c r="G77" s="266"/>
      <c r="H77" s="265"/>
      <c r="I77" s="265"/>
    </row>
    <row r="78" spans="2:9" s="264" customFormat="1">
      <c r="B78" s="271"/>
      <c r="C78" s="271"/>
      <c r="F78" s="265"/>
      <c r="G78" s="266"/>
      <c r="H78" s="265"/>
      <c r="I78" s="265"/>
    </row>
    <row r="79" spans="2:9" s="264" customFormat="1">
      <c r="B79" s="271"/>
      <c r="C79" s="271"/>
      <c r="F79" s="265"/>
      <c r="G79" s="266"/>
      <c r="H79" s="265"/>
      <c r="I79" s="265"/>
    </row>
    <row r="80" spans="2:9" s="264" customFormat="1">
      <c r="B80" s="271"/>
      <c r="C80" s="271"/>
      <c r="F80" s="265"/>
      <c r="G80" s="266"/>
      <c r="H80" s="265"/>
      <c r="I80" s="265"/>
    </row>
    <row r="81" spans="2:9" s="264" customFormat="1">
      <c r="B81" s="271"/>
      <c r="C81" s="271"/>
      <c r="F81" s="265"/>
      <c r="G81" s="266"/>
      <c r="H81" s="265"/>
      <c r="I81" s="265"/>
    </row>
    <row r="82" spans="2:9" s="264" customFormat="1">
      <c r="B82" s="271"/>
      <c r="C82" s="271"/>
      <c r="F82" s="265"/>
      <c r="G82" s="266"/>
      <c r="H82" s="265"/>
      <c r="I82" s="265"/>
    </row>
    <row r="83" spans="2:9" s="264" customFormat="1">
      <c r="B83" s="271"/>
      <c r="C83" s="271"/>
      <c r="F83" s="265"/>
      <c r="G83" s="266"/>
      <c r="H83" s="265"/>
      <c r="I83" s="265"/>
    </row>
    <row r="84" spans="2:9" s="264" customFormat="1">
      <c r="B84" s="271"/>
      <c r="C84" s="271"/>
      <c r="F84" s="265"/>
      <c r="G84" s="266"/>
      <c r="H84" s="265"/>
      <c r="I84" s="265"/>
    </row>
    <row r="85" spans="2:9" s="264" customFormat="1">
      <c r="B85" s="271"/>
      <c r="C85" s="271"/>
      <c r="F85" s="265"/>
      <c r="G85" s="266"/>
      <c r="H85" s="265"/>
      <c r="I85" s="265"/>
    </row>
    <row r="86" spans="2:9" s="264" customFormat="1">
      <c r="B86" s="271"/>
      <c r="C86" s="271"/>
      <c r="F86" s="265"/>
      <c r="G86" s="266"/>
      <c r="H86" s="265"/>
      <c r="I86" s="265"/>
    </row>
    <row r="87" spans="2:9" s="264" customFormat="1">
      <c r="B87" s="271"/>
      <c r="C87" s="271"/>
      <c r="F87" s="265"/>
      <c r="G87" s="266"/>
      <c r="H87" s="265"/>
      <c r="I87" s="265"/>
    </row>
    <row r="88" spans="2:9" s="264" customFormat="1">
      <c r="B88" s="271"/>
      <c r="C88" s="271"/>
      <c r="F88" s="265"/>
      <c r="G88" s="266"/>
      <c r="H88" s="265"/>
      <c r="I88" s="265"/>
    </row>
    <row r="89" spans="2:9" s="264" customFormat="1">
      <c r="B89" s="271"/>
      <c r="C89" s="271"/>
      <c r="F89" s="265"/>
      <c r="G89" s="266"/>
      <c r="H89" s="265"/>
      <c r="I89" s="265"/>
    </row>
    <row r="90" spans="2:9" s="264" customFormat="1">
      <c r="B90" s="271"/>
      <c r="C90" s="271"/>
      <c r="F90" s="265"/>
      <c r="G90" s="266"/>
      <c r="H90" s="265"/>
      <c r="I90" s="265"/>
    </row>
    <row r="91" spans="2:9" s="264" customFormat="1">
      <c r="B91" s="271"/>
      <c r="C91" s="271"/>
      <c r="F91" s="265"/>
      <c r="G91" s="266"/>
      <c r="H91" s="265"/>
      <c r="I91" s="265"/>
    </row>
    <row r="92" spans="2:9" s="264" customFormat="1">
      <c r="B92" s="271"/>
      <c r="C92" s="271"/>
      <c r="F92" s="265"/>
      <c r="G92" s="266"/>
      <c r="H92" s="265"/>
      <c r="I92" s="265"/>
    </row>
    <row r="93" spans="2:9" s="264" customFormat="1">
      <c r="B93" s="271"/>
      <c r="C93" s="271"/>
      <c r="F93" s="265"/>
      <c r="G93" s="266"/>
      <c r="H93" s="265"/>
      <c r="I93" s="265"/>
    </row>
    <row r="94" spans="2:9" s="264" customFormat="1">
      <c r="B94" s="271"/>
      <c r="C94" s="271"/>
      <c r="F94" s="265"/>
      <c r="G94" s="266"/>
      <c r="H94" s="265"/>
      <c r="I94" s="265"/>
    </row>
    <row r="95" spans="2:9" s="264" customFormat="1">
      <c r="B95" s="271"/>
      <c r="C95" s="271"/>
      <c r="F95" s="265"/>
      <c r="G95" s="266"/>
      <c r="H95" s="265"/>
      <c r="I95" s="265"/>
    </row>
    <row r="96" spans="2:9" s="264" customFormat="1">
      <c r="B96" s="271"/>
      <c r="C96" s="271"/>
      <c r="F96" s="265"/>
      <c r="G96" s="266"/>
      <c r="H96" s="265"/>
      <c r="I96" s="265"/>
    </row>
    <row r="97" spans="2:9" s="264" customFormat="1">
      <c r="B97" s="271"/>
      <c r="C97" s="271"/>
      <c r="F97" s="265"/>
      <c r="G97" s="266"/>
      <c r="H97" s="265"/>
      <c r="I97" s="265"/>
    </row>
    <row r="98" spans="2:9" s="264" customFormat="1">
      <c r="B98" s="271"/>
      <c r="C98" s="271"/>
      <c r="F98" s="265"/>
      <c r="G98" s="266"/>
      <c r="H98" s="265"/>
      <c r="I98" s="265"/>
    </row>
    <row r="99" spans="2:9" s="264" customFormat="1">
      <c r="B99" s="271"/>
      <c r="C99" s="271"/>
      <c r="F99" s="265"/>
      <c r="G99" s="266"/>
      <c r="H99" s="265"/>
      <c r="I99" s="265"/>
    </row>
    <row r="100" spans="2:9" s="264" customFormat="1">
      <c r="B100" s="271"/>
      <c r="C100" s="271"/>
      <c r="F100" s="265"/>
      <c r="G100" s="266"/>
      <c r="H100" s="265"/>
      <c r="I100" s="265"/>
    </row>
    <row r="101" spans="2:9" s="264" customFormat="1">
      <c r="B101" s="271"/>
      <c r="C101" s="271"/>
      <c r="F101" s="265"/>
      <c r="G101" s="266"/>
      <c r="H101" s="265"/>
      <c r="I101" s="265"/>
    </row>
    <row r="102" spans="2:9" s="264" customFormat="1">
      <c r="B102" s="271"/>
      <c r="C102" s="271"/>
      <c r="F102" s="265"/>
      <c r="G102" s="266"/>
      <c r="H102" s="265"/>
      <c r="I102" s="265"/>
    </row>
    <row r="103" spans="2:9" s="264" customFormat="1">
      <c r="B103" s="271"/>
      <c r="C103" s="271"/>
      <c r="F103" s="265"/>
      <c r="G103" s="266"/>
      <c r="H103" s="265"/>
      <c r="I103" s="265"/>
    </row>
    <row r="104" spans="2:9" s="264" customFormat="1">
      <c r="B104" s="271"/>
      <c r="C104" s="271"/>
      <c r="F104" s="265"/>
      <c r="G104" s="266"/>
      <c r="H104" s="265"/>
      <c r="I104" s="265"/>
    </row>
    <row r="105" spans="2:9" s="264" customFormat="1">
      <c r="B105" s="271"/>
      <c r="C105" s="271"/>
      <c r="F105" s="265"/>
      <c r="G105" s="266"/>
      <c r="H105" s="265"/>
      <c r="I105" s="265"/>
    </row>
    <row r="106" spans="2:9" s="264" customFormat="1">
      <c r="B106" s="271"/>
      <c r="C106" s="271"/>
      <c r="F106" s="265"/>
      <c r="G106" s="266"/>
      <c r="H106" s="265"/>
      <c r="I106" s="265"/>
    </row>
    <row r="107" spans="2:9" s="264" customFormat="1">
      <c r="B107" s="271"/>
      <c r="C107" s="271"/>
      <c r="F107" s="265"/>
      <c r="G107" s="266"/>
      <c r="H107" s="265"/>
      <c r="I107" s="265"/>
    </row>
    <row r="108" spans="2:9" s="264" customFormat="1">
      <c r="B108" s="271"/>
      <c r="C108" s="271"/>
      <c r="F108" s="265"/>
      <c r="G108" s="266"/>
      <c r="H108" s="265"/>
      <c r="I108" s="265"/>
    </row>
    <row r="109" spans="2:9" s="264" customFormat="1">
      <c r="B109" s="271"/>
      <c r="C109" s="271"/>
      <c r="F109" s="265"/>
      <c r="G109" s="266"/>
      <c r="H109" s="265"/>
      <c r="I109" s="265"/>
    </row>
    <row r="110" spans="2:9" s="264" customFormat="1">
      <c r="B110" s="271"/>
      <c r="C110" s="271"/>
      <c r="F110" s="265"/>
      <c r="G110" s="266"/>
      <c r="H110" s="265"/>
      <c r="I110" s="265"/>
    </row>
    <row r="111" spans="2:9" s="264" customFormat="1">
      <c r="B111" s="271"/>
      <c r="C111" s="271"/>
      <c r="F111" s="265"/>
      <c r="G111" s="266"/>
      <c r="H111" s="265"/>
      <c r="I111" s="265"/>
    </row>
    <row r="112" spans="2:9" s="264" customFormat="1">
      <c r="B112" s="271"/>
      <c r="C112" s="271"/>
      <c r="F112" s="265"/>
      <c r="G112" s="266"/>
      <c r="H112" s="265"/>
      <c r="I112" s="265"/>
    </row>
    <row r="113" spans="2:9" s="264" customFormat="1">
      <c r="B113" s="271"/>
      <c r="C113" s="271"/>
      <c r="F113" s="265"/>
      <c r="G113" s="266"/>
      <c r="H113" s="265"/>
      <c r="I113" s="265"/>
    </row>
    <row r="114" spans="2:9" s="264" customFormat="1">
      <c r="B114" s="271"/>
      <c r="C114" s="271"/>
      <c r="F114" s="265"/>
      <c r="G114" s="266"/>
      <c r="H114" s="265"/>
      <c r="I114" s="265"/>
    </row>
    <row r="115" spans="2:9" s="264" customFormat="1">
      <c r="B115" s="271"/>
      <c r="C115" s="271"/>
      <c r="F115" s="265"/>
      <c r="G115" s="266"/>
      <c r="H115" s="265"/>
      <c r="I115" s="265"/>
    </row>
    <row r="116" spans="2:9" s="264" customFormat="1">
      <c r="B116" s="271"/>
      <c r="C116" s="271"/>
      <c r="F116" s="265"/>
      <c r="G116" s="266"/>
      <c r="H116" s="265"/>
      <c r="I116" s="265"/>
    </row>
    <row r="117" spans="2:9" s="264" customFormat="1">
      <c r="B117" s="271"/>
      <c r="C117" s="271"/>
      <c r="F117" s="265"/>
      <c r="G117" s="266"/>
      <c r="H117" s="265"/>
      <c r="I117" s="265"/>
    </row>
    <row r="118" spans="2:9" s="264" customFormat="1">
      <c r="B118" s="271"/>
      <c r="C118" s="271"/>
      <c r="F118" s="265"/>
      <c r="G118" s="266"/>
      <c r="H118" s="265"/>
      <c r="I118" s="265"/>
    </row>
    <row r="119" spans="2:9" s="264" customFormat="1">
      <c r="B119" s="271"/>
      <c r="C119" s="271"/>
      <c r="F119" s="265"/>
      <c r="G119" s="266"/>
      <c r="H119" s="265"/>
      <c r="I119" s="265"/>
    </row>
    <row r="120" spans="2:9" s="264" customFormat="1">
      <c r="B120" s="271"/>
      <c r="C120" s="271"/>
      <c r="F120" s="265"/>
      <c r="G120" s="266"/>
      <c r="H120" s="265"/>
      <c r="I120" s="265"/>
    </row>
    <row r="121" spans="2:9" s="264" customFormat="1">
      <c r="B121" s="271"/>
      <c r="C121" s="271"/>
      <c r="F121" s="265"/>
      <c r="G121" s="266"/>
      <c r="H121" s="265"/>
      <c r="I121" s="265"/>
    </row>
    <row r="122" spans="2:9" s="264" customFormat="1">
      <c r="B122" s="271"/>
      <c r="C122" s="271"/>
      <c r="F122" s="265"/>
      <c r="G122" s="266"/>
      <c r="H122" s="265"/>
      <c r="I122" s="265"/>
    </row>
    <row r="123" spans="2:9" s="264" customFormat="1">
      <c r="B123" s="271"/>
      <c r="C123" s="271"/>
      <c r="F123" s="265"/>
      <c r="G123" s="266"/>
      <c r="H123" s="265"/>
      <c r="I123" s="265"/>
    </row>
    <row r="124" spans="2:9" s="264" customFormat="1">
      <c r="B124" s="271"/>
      <c r="C124" s="271"/>
      <c r="F124" s="265"/>
      <c r="G124" s="266"/>
      <c r="H124" s="265"/>
      <c r="I124" s="265"/>
    </row>
    <row r="125" spans="2:9" s="264" customFormat="1">
      <c r="B125" s="271"/>
      <c r="C125" s="271"/>
      <c r="F125" s="265"/>
      <c r="G125" s="266"/>
      <c r="H125" s="265"/>
      <c r="I125" s="265"/>
    </row>
    <row r="126" spans="2:9" s="264" customFormat="1">
      <c r="B126" s="271"/>
      <c r="C126" s="271"/>
      <c r="F126" s="265"/>
      <c r="G126" s="266"/>
      <c r="H126" s="265"/>
      <c r="I126" s="265"/>
    </row>
    <row r="127" spans="2:9" s="264" customFormat="1">
      <c r="B127" s="271"/>
      <c r="C127" s="271"/>
      <c r="F127" s="265"/>
      <c r="G127" s="266"/>
      <c r="H127" s="265"/>
      <c r="I127" s="265"/>
    </row>
    <row r="128" spans="2:9" s="264" customFormat="1">
      <c r="B128" s="271"/>
      <c r="C128" s="271"/>
      <c r="F128" s="265"/>
      <c r="G128" s="266"/>
      <c r="H128" s="265"/>
      <c r="I128" s="265"/>
    </row>
    <row r="129" spans="2:9" s="264" customFormat="1">
      <c r="B129" s="271"/>
      <c r="C129" s="271"/>
      <c r="F129" s="265"/>
      <c r="G129" s="266"/>
      <c r="H129" s="265"/>
      <c r="I129" s="265"/>
    </row>
    <row r="130" spans="2:9" s="264" customFormat="1">
      <c r="B130" s="271"/>
      <c r="C130" s="271"/>
      <c r="F130" s="265"/>
      <c r="G130" s="266"/>
      <c r="H130" s="265"/>
      <c r="I130" s="265"/>
    </row>
    <row r="131" spans="2:9" s="264" customFormat="1">
      <c r="B131" s="271"/>
      <c r="C131" s="271"/>
      <c r="F131" s="265"/>
      <c r="G131" s="266"/>
      <c r="H131" s="265"/>
      <c r="I131" s="265"/>
    </row>
    <row r="132" spans="2:9" s="264" customFormat="1">
      <c r="B132" s="271"/>
      <c r="C132" s="271"/>
      <c r="F132" s="265"/>
      <c r="G132" s="266"/>
      <c r="H132" s="265"/>
      <c r="I132" s="265"/>
    </row>
    <row r="133" spans="2:9" s="264" customFormat="1">
      <c r="B133" s="271"/>
      <c r="C133" s="271"/>
      <c r="F133" s="265"/>
      <c r="G133" s="266"/>
      <c r="H133" s="265"/>
      <c r="I133" s="265"/>
    </row>
    <row r="134" spans="2:9" s="264" customFormat="1">
      <c r="B134" s="271"/>
      <c r="C134" s="271"/>
      <c r="F134" s="265"/>
      <c r="G134" s="266"/>
      <c r="H134" s="265"/>
      <c r="I134" s="265"/>
    </row>
    <row r="135" spans="2:9" s="264" customFormat="1">
      <c r="B135" s="271"/>
      <c r="C135" s="271"/>
      <c r="F135" s="265"/>
      <c r="G135" s="266"/>
      <c r="H135" s="265"/>
      <c r="I135" s="265"/>
    </row>
    <row r="136" spans="2:9" s="264" customFormat="1">
      <c r="B136" s="271"/>
      <c r="C136" s="271"/>
      <c r="F136" s="265"/>
      <c r="G136" s="266"/>
      <c r="H136" s="265"/>
      <c r="I136" s="265"/>
    </row>
    <row r="137" spans="2:9" s="264" customFormat="1">
      <c r="B137" s="271"/>
      <c r="C137" s="271"/>
      <c r="F137" s="265"/>
      <c r="G137" s="266"/>
      <c r="H137" s="265"/>
      <c r="I137" s="265"/>
    </row>
    <row r="138" spans="2:9" s="264" customFormat="1">
      <c r="B138" s="271"/>
      <c r="C138" s="271"/>
      <c r="F138" s="265"/>
      <c r="G138" s="266"/>
      <c r="H138" s="265"/>
      <c r="I138" s="265"/>
    </row>
    <row r="139" spans="2:9" s="264" customFormat="1">
      <c r="B139" s="271"/>
      <c r="C139" s="271"/>
      <c r="F139" s="265"/>
      <c r="G139" s="266"/>
      <c r="H139" s="265"/>
      <c r="I139" s="265"/>
    </row>
    <row r="140" spans="2:9" s="264" customFormat="1">
      <c r="B140" s="271"/>
      <c r="C140" s="271"/>
      <c r="F140" s="265"/>
      <c r="G140" s="266"/>
      <c r="H140" s="265"/>
      <c r="I140" s="265"/>
    </row>
    <row r="141" spans="2:9" s="264" customFormat="1">
      <c r="B141" s="271"/>
      <c r="C141" s="271"/>
      <c r="F141" s="265"/>
      <c r="G141" s="266"/>
      <c r="H141" s="265"/>
      <c r="I141" s="265"/>
    </row>
    <row r="142" spans="2:9" s="264" customFormat="1">
      <c r="B142" s="271"/>
      <c r="C142" s="271"/>
      <c r="F142" s="265"/>
      <c r="G142" s="266"/>
      <c r="H142" s="265"/>
      <c r="I142" s="265"/>
    </row>
    <row r="143" spans="2:9" s="264" customFormat="1">
      <c r="B143" s="271"/>
      <c r="C143" s="271"/>
      <c r="F143" s="265"/>
      <c r="G143" s="266"/>
      <c r="H143" s="265"/>
      <c r="I143" s="265"/>
    </row>
    <row r="144" spans="2:9" s="264" customFormat="1">
      <c r="B144" s="271"/>
      <c r="C144" s="271"/>
      <c r="F144" s="265"/>
      <c r="G144" s="266"/>
      <c r="H144" s="265"/>
      <c r="I144" s="265"/>
    </row>
    <row r="145" spans="2:9" s="264" customFormat="1">
      <c r="B145" s="271"/>
      <c r="C145" s="271"/>
      <c r="F145" s="265"/>
      <c r="G145" s="266"/>
      <c r="H145" s="265"/>
      <c r="I145" s="265"/>
    </row>
    <row r="146" spans="2:9" s="264" customFormat="1">
      <c r="B146" s="271"/>
      <c r="C146" s="271"/>
      <c r="F146" s="265"/>
      <c r="G146" s="266"/>
      <c r="H146" s="265"/>
      <c r="I146" s="265"/>
    </row>
    <row r="147" spans="2:9" s="264" customFormat="1">
      <c r="B147" s="271"/>
      <c r="C147" s="271"/>
      <c r="F147" s="265"/>
      <c r="G147" s="266"/>
      <c r="H147" s="265"/>
      <c r="I147" s="265"/>
    </row>
    <row r="148" spans="2:9" s="264" customFormat="1">
      <c r="B148" s="271"/>
      <c r="C148" s="271"/>
      <c r="F148" s="265"/>
      <c r="G148" s="266"/>
      <c r="H148" s="265"/>
      <c r="I148" s="265"/>
    </row>
    <row r="149" spans="2:9" s="264" customFormat="1">
      <c r="B149" s="271"/>
      <c r="C149" s="271"/>
      <c r="F149" s="265"/>
      <c r="G149" s="266"/>
      <c r="H149" s="265"/>
      <c r="I149" s="265"/>
    </row>
    <row r="150" spans="2:9" s="264" customFormat="1">
      <c r="B150" s="271"/>
      <c r="C150" s="271"/>
      <c r="F150" s="265"/>
      <c r="G150" s="266"/>
      <c r="H150" s="265"/>
      <c r="I150" s="265"/>
    </row>
    <row r="151" spans="2:9" s="264" customFormat="1">
      <c r="B151" s="271"/>
      <c r="C151" s="271"/>
      <c r="F151" s="265"/>
      <c r="G151" s="266"/>
      <c r="H151" s="265"/>
      <c r="I151" s="265"/>
    </row>
    <row r="152" spans="2:9" s="264" customFormat="1">
      <c r="B152" s="271"/>
      <c r="C152" s="271"/>
      <c r="F152" s="265"/>
      <c r="G152" s="266"/>
      <c r="H152" s="265"/>
      <c r="I152" s="265"/>
    </row>
    <row r="153" spans="2:9" s="264" customFormat="1">
      <c r="B153" s="271"/>
      <c r="C153" s="271"/>
      <c r="F153" s="265"/>
      <c r="G153" s="266"/>
      <c r="H153" s="265"/>
      <c r="I153" s="265"/>
    </row>
    <row r="154" spans="2:9" s="264" customFormat="1">
      <c r="B154" s="271"/>
      <c r="C154" s="271"/>
      <c r="F154" s="265"/>
      <c r="G154" s="266"/>
      <c r="H154" s="265"/>
      <c r="I154" s="265"/>
    </row>
    <row r="155" spans="2:9" s="264" customFormat="1">
      <c r="B155" s="271"/>
      <c r="C155" s="271"/>
      <c r="F155" s="265"/>
      <c r="G155" s="266"/>
      <c r="H155" s="265"/>
      <c r="I155" s="265"/>
    </row>
    <row r="156" spans="2:9" s="264" customFormat="1">
      <c r="B156" s="271"/>
      <c r="C156" s="271"/>
      <c r="F156" s="265"/>
      <c r="G156" s="266"/>
      <c r="H156" s="265"/>
      <c r="I156" s="265"/>
    </row>
    <row r="157" spans="2:9" s="264" customFormat="1">
      <c r="B157" s="271"/>
      <c r="C157" s="271"/>
      <c r="F157" s="265"/>
      <c r="G157" s="266"/>
      <c r="H157" s="265"/>
      <c r="I157" s="265"/>
    </row>
    <row r="158" spans="2:9" s="264" customFormat="1">
      <c r="B158" s="271"/>
      <c r="C158" s="271"/>
      <c r="F158" s="265"/>
      <c r="G158" s="266"/>
      <c r="H158" s="265"/>
      <c r="I158" s="265"/>
    </row>
    <row r="159" spans="2:9" s="264" customFormat="1">
      <c r="B159" s="271"/>
      <c r="C159" s="271"/>
      <c r="F159" s="265"/>
      <c r="G159" s="266"/>
      <c r="H159" s="265"/>
      <c r="I159" s="265"/>
    </row>
    <row r="160" spans="2:9" s="264" customFormat="1">
      <c r="B160" s="271"/>
      <c r="C160" s="271"/>
      <c r="F160" s="265"/>
      <c r="G160" s="266"/>
      <c r="H160" s="265"/>
      <c r="I160" s="265"/>
    </row>
    <row r="161" spans="2:9" s="264" customFormat="1">
      <c r="B161" s="271"/>
      <c r="C161" s="271"/>
      <c r="F161" s="265"/>
      <c r="G161" s="266"/>
      <c r="H161" s="265"/>
      <c r="I161" s="265"/>
    </row>
    <row r="162" spans="2:9" s="264" customFormat="1">
      <c r="B162" s="271"/>
      <c r="C162" s="271"/>
      <c r="F162" s="265"/>
      <c r="G162" s="266"/>
      <c r="H162" s="265"/>
      <c r="I162" s="265"/>
    </row>
    <row r="163" spans="2:9" s="264" customFormat="1">
      <c r="B163" s="271"/>
      <c r="C163" s="271"/>
      <c r="F163" s="265"/>
      <c r="G163" s="266"/>
      <c r="H163" s="265"/>
      <c r="I163" s="265"/>
    </row>
    <row r="164" spans="2:9" s="264" customFormat="1">
      <c r="B164" s="271"/>
      <c r="C164" s="271"/>
      <c r="F164" s="265"/>
      <c r="G164" s="266"/>
      <c r="H164" s="265"/>
      <c r="I164" s="265"/>
    </row>
    <row r="165" spans="2:9" s="264" customFormat="1">
      <c r="B165" s="271"/>
      <c r="C165" s="271"/>
      <c r="F165" s="265"/>
      <c r="G165" s="266"/>
      <c r="H165" s="265"/>
      <c r="I165" s="265"/>
    </row>
    <row r="166" spans="2:9" s="264" customFormat="1">
      <c r="B166" s="271"/>
      <c r="C166" s="271"/>
      <c r="F166" s="265"/>
      <c r="G166" s="266"/>
      <c r="H166" s="265"/>
      <c r="I166" s="265"/>
    </row>
    <row r="167" spans="2:9" s="264" customFormat="1">
      <c r="B167" s="271"/>
      <c r="C167" s="271"/>
      <c r="F167" s="265"/>
      <c r="G167" s="266"/>
      <c r="H167" s="265"/>
      <c r="I167" s="265"/>
    </row>
    <row r="168" spans="2:9" s="264" customFormat="1">
      <c r="B168" s="271"/>
      <c r="C168" s="271"/>
      <c r="F168" s="265"/>
      <c r="G168" s="266"/>
      <c r="H168" s="265"/>
      <c r="I168" s="265"/>
    </row>
    <row r="169" spans="2:9" s="264" customFormat="1">
      <c r="B169" s="271"/>
      <c r="C169" s="271"/>
      <c r="F169" s="265"/>
      <c r="G169" s="266"/>
      <c r="H169" s="265"/>
      <c r="I169" s="265"/>
    </row>
    <row r="170" spans="2:9" s="264" customFormat="1">
      <c r="B170" s="271"/>
      <c r="C170" s="271"/>
      <c r="F170" s="265"/>
      <c r="G170" s="266"/>
      <c r="H170" s="265"/>
      <c r="I170" s="265"/>
    </row>
    <row r="171" spans="2:9" s="264" customFormat="1">
      <c r="B171" s="271"/>
      <c r="C171" s="271"/>
      <c r="F171" s="265"/>
      <c r="G171" s="266"/>
      <c r="H171" s="265"/>
      <c r="I171" s="265"/>
    </row>
    <row r="172" spans="2:9" s="264" customFormat="1">
      <c r="B172" s="271"/>
      <c r="C172" s="271"/>
      <c r="F172" s="265"/>
      <c r="G172" s="266"/>
      <c r="H172" s="265"/>
      <c r="I172" s="265"/>
    </row>
    <row r="173" spans="2:9" s="264" customFormat="1">
      <c r="B173" s="271"/>
      <c r="C173" s="271"/>
      <c r="F173" s="265"/>
      <c r="G173" s="266"/>
      <c r="H173" s="265"/>
      <c r="I173" s="265"/>
    </row>
    <row r="174" spans="2:9" s="264" customFormat="1">
      <c r="B174" s="271"/>
      <c r="C174" s="271"/>
      <c r="F174" s="265"/>
      <c r="G174" s="266"/>
      <c r="H174" s="265"/>
      <c r="I174" s="265"/>
    </row>
    <row r="175" spans="2:9" s="264" customFormat="1">
      <c r="B175" s="271"/>
      <c r="C175" s="271"/>
      <c r="F175" s="265"/>
      <c r="G175" s="266"/>
      <c r="H175" s="265"/>
      <c r="I175" s="265"/>
    </row>
    <row r="176" spans="2:9" s="264" customFormat="1">
      <c r="B176" s="271"/>
      <c r="C176" s="271"/>
      <c r="F176" s="265"/>
      <c r="G176" s="266"/>
      <c r="H176" s="265"/>
      <c r="I176" s="265"/>
    </row>
    <row r="177" spans="2:9" s="264" customFormat="1">
      <c r="B177" s="271"/>
      <c r="C177" s="271"/>
      <c r="F177" s="265"/>
      <c r="G177" s="266"/>
      <c r="H177" s="265"/>
      <c r="I177" s="265"/>
    </row>
    <row r="178" spans="2:9" s="264" customFormat="1">
      <c r="B178" s="271"/>
      <c r="C178" s="271"/>
      <c r="F178" s="265"/>
      <c r="G178" s="266"/>
      <c r="H178" s="265"/>
      <c r="I178" s="265"/>
    </row>
    <row r="179" spans="2:9" s="264" customFormat="1">
      <c r="B179" s="271"/>
      <c r="C179" s="271"/>
      <c r="F179" s="265"/>
      <c r="G179" s="266"/>
      <c r="H179" s="265"/>
      <c r="I179" s="265"/>
    </row>
    <row r="180" spans="2:9" s="264" customFormat="1">
      <c r="B180" s="271"/>
      <c r="C180" s="271"/>
      <c r="F180" s="265"/>
      <c r="G180" s="266"/>
      <c r="H180" s="265"/>
      <c r="I180" s="265"/>
    </row>
    <row r="181" spans="2:9" s="264" customFormat="1">
      <c r="B181" s="271"/>
      <c r="C181" s="271"/>
      <c r="F181" s="265"/>
      <c r="G181" s="266"/>
      <c r="H181" s="265"/>
      <c r="I181" s="265"/>
    </row>
    <row r="182" spans="2:9" s="264" customFormat="1">
      <c r="B182" s="271"/>
      <c r="C182" s="271"/>
      <c r="F182" s="265"/>
      <c r="G182" s="266"/>
      <c r="H182" s="265"/>
      <c r="I182" s="265"/>
    </row>
    <row r="183" spans="2:9" s="264" customFormat="1">
      <c r="B183" s="271"/>
      <c r="C183" s="271"/>
      <c r="F183" s="265"/>
      <c r="G183" s="266"/>
      <c r="H183" s="265"/>
      <c r="I183" s="265"/>
    </row>
    <row r="184" spans="2:9" s="264" customFormat="1">
      <c r="B184" s="271"/>
      <c r="C184" s="271"/>
      <c r="F184" s="265"/>
      <c r="G184" s="266"/>
      <c r="H184" s="265"/>
      <c r="I184" s="265"/>
    </row>
    <row r="185" spans="2:9" s="264" customFormat="1">
      <c r="B185" s="271"/>
      <c r="C185" s="271"/>
      <c r="F185" s="265"/>
      <c r="G185" s="266"/>
      <c r="H185" s="265"/>
      <c r="I185" s="265"/>
    </row>
    <row r="186" spans="2:9" s="264" customFormat="1">
      <c r="B186" s="271"/>
      <c r="C186" s="271"/>
      <c r="F186" s="265"/>
      <c r="G186" s="266"/>
      <c r="H186" s="265"/>
      <c r="I186" s="265"/>
    </row>
    <row r="187" spans="2:9" s="264" customFormat="1">
      <c r="B187" s="271"/>
      <c r="C187" s="271"/>
      <c r="F187" s="265"/>
      <c r="G187" s="266"/>
      <c r="H187" s="265"/>
      <c r="I187" s="265"/>
    </row>
    <row r="188" spans="2:9" s="264" customFormat="1">
      <c r="B188" s="271"/>
      <c r="C188" s="271"/>
      <c r="F188" s="265"/>
      <c r="G188" s="266"/>
      <c r="H188" s="265"/>
      <c r="I188" s="265"/>
    </row>
    <row r="189" spans="2:9" s="264" customFormat="1">
      <c r="B189" s="271"/>
      <c r="C189" s="271"/>
      <c r="F189" s="265"/>
      <c r="G189" s="266"/>
      <c r="H189" s="265"/>
      <c r="I189" s="265"/>
    </row>
    <row r="190" spans="2:9" s="264" customFormat="1">
      <c r="B190" s="271"/>
      <c r="C190" s="271"/>
      <c r="F190" s="265"/>
      <c r="G190" s="266"/>
      <c r="H190" s="265"/>
      <c r="I190" s="265"/>
    </row>
    <row r="191" spans="2:9" s="264" customFormat="1">
      <c r="B191" s="271"/>
      <c r="C191" s="271"/>
      <c r="F191" s="265"/>
      <c r="G191" s="266"/>
      <c r="H191" s="265"/>
      <c r="I191" s="265"/>
    </row>
    <row r="192" spans="2:9" s="264" customFormat="1">
      <c r="B192" s="271"/>
      <c r="C192" s="271"/>
      <c r="F192" s="265"/>
      <c r="G192" s="266"/>
      <c r="H192" s="265"/>
      <c r="I192" s="265"/>
    </row>
    <row r="193" spans="2:9" s="264" customFormat="1">
      <c r="B193" s="271"/>
      <c r="C193" s="271"/>
      <c r="F193" s="265"/>
      <c r="G193" s="266"/>
      <c r="H193" s="265"/>
      <c r="I193" s="265"/>
    </row>
    <row r="194" spans="2:9" s="264" customFormat="1">
      <c r="B194" s="271"/>
      <c r="C194" s="271"/>
      <c r="F194" s="265"/>
      <c r="G194" s="266"/>
      <c r="H194" s="265"/>
      <c r="I194" s="265"/>
    </row>
    <row r="195" spans="2:9" s="264" customFormat="1">
      <c r="B195" s="271"/>
      <c r="C195" s="271"/>
      <c r="F195" s="265"/>
      <c r="G195" s="266"/>
      <c r="H195" s="265"/>
      <c r="I195" s="265"/>
    </row>
    <row r="196" spans="2:9" s="264" customFormat="1">
      <c r="B196" s="271"/>
      <c r="C196" s="271"/>
      <c r="F196" s="265"/>
      <c r="G196" s="266"/>
      <c r="H196" s="265"/>
      <c r="I196" s="265"/>
    </row>
    <row r="197" spans="2:9" s="264" customFormat="1">
      <c r="B197" s="271"/>
      <c r="C197" s="271"/>
      <c r="F197" s="265"/>
      <c r="G197" s="266"/>
      <c r="H197" s="265"/>
      <c r="I197" s="265"/>
    </row>
    <row r="198" spans="2:9" s="264" customFormat="1">
      <c r="B198" s="271"/>
      <c r="C198" s="271"/>
      <c r="F198" s="265"/>
      <c r="G198" s="266"/>
      <c r="H198" s="265"/>
      <c r="I198" s="265"/>
    </row>
    <row r="199" spans="2:9" s="264" customFormat="1">
      <c r="B199" s="271"/>
      <c r="C199" s="271"/>
      <c r="F199" s="265"/>
      <c r="G199" s="266"/>
      <c r="H199" s="265"/>
      <c r="I199" s="265"/>
    </row>
    <row r="200" spans="2:9" s="264" customFormat="1">
      <c r="B200" s="271"/>
      <c r="C200" s="271"/>
      <c r="F200" s="265"/>
      <c r="G200" s="266"/>
      <c r="H200" s="265"/>
      <c r="I200" s="265"/>
    </row>
    <row r="201" spans="2:9" s="264" customFormat="1">
      <c r="B201" s="271"/>
      <c r="C201" s="271"/>
      <c r="F201" s="265"/>
      <c r="G201" s="266"/>
      <c r="H201" s="265"/>
      <c r="I201" s="265"/>
    </row>
    <row r="202" spans="2:9" s="264" customFormat="1">
      <c r="B202" s="271"/>
      <c r="C202" s="271"/>
      <c r="F202" s="265"/>
      <c r="G202" s="266"/>
      <c r="H202" s="265"/>
      <c r="I202" s="265"/>
    </row>
    <row r="203" spans="2:9" s="264" customFormat="1">
      <c r="B203" s="271"/>
      <c r="C203" s="271"/>
      <c r="F203" s="265"/>
      <c r="G203" s="266"/>
      <c r="H203" s="265"/>
      <c r="I203" s="265"/>
    </row>
    <row r="204" spans="2:9" s="264" customFormat="1">
      <c r="B204" s="271"/>
      <c r="C204" s="271"/>
      <c r="F204" s="265"/>
      <c r="G204" s="266"/>
      <c r="H204" s="265"/>
      <c r="I204" s="265"/>
    </row>
    <row r="205" spans="2:9" s="264" customFormat="1">
      <c r="B205" s="271"/>
      <c r="C205" s="271"/>
      <c r="F205" s="265"/>
      <c r="G205" s="266"/>
      <c r="H205" s="265"/>
      <c r="I205" s="265"/>
    </row>
    <row r="206" spans="2:9" s="264" customFormat="1">
      <c r="B206" s="271"/>
      <c r="C206" s="271"/>
      <c r="F206" s="265"/>
      <c r="G206" s="266"/>
      <c r="H206" s="265"/>
      <c r="I206" s="265"/>
    </row>
    <row r="207" spans="2:9" s="264" customFormat="1">
      <c r="B207" s="271"/>
      <c r="C207" s="271"/>
      <c r="F207" s="265"/>
      <c r="G207" s="266"/>
      <c r="H207" s="265"/>
      <c r="I207" s="265"/>
    </row>
    <row r="208" spans="2:9" s="264" customFormat="1">
      <c r="B208" s="271"/>
      <c r="C208" s="271"/>
      <c r="F208" s="265"/>
      <c r="G208" s="266"/>
      <c r="H208" s="265"/>
      <c r="I208" s="265"/>
    </row>
    <row r="209" spans="2:9" s="264" customFormat="1">
      <c r="B209" s="271"/>
      <c r="C209" s="271"/>
      <c r="F209" s="265"/>
      <c r="G209" s="266"/>
      <c r="H209" s="265"/>
      <c r="I209" s="265"/>
    </row>
    <row r="210" spans="2:9" s="264" customFormat="1">
      <c r="B210" s="271"/>
      <c r="C210" s="271"/>
      <c r="F210" s="265"/>
      <c r="G210" s="266"/>
      <c r="H210" s="265"/>
      <c r="I210" s="265"/>
    </row>
    <row r="211" spans="2:9" s="264" customFormat="1">
      <c r="B211" s="271"/>
      <c r="C211" s="271"/>
      <c r="F211" s="265"/>
      <c r="G211" s="266"/>
      <c r="H211" s="265"/>
      <c r="I211" s="265"/>
    </row>
    <row r="212" spans="2:9" s="264" customFormat="1">
      <c r="B212" s="271"/>
      <c r="C212" s="271"/>
      <c r="F212" s="265"/>
      <c r="G212" s="266"/>
      <c r="H212" s="265"/>
      <c r="I212" s="265"/>
    </row>
    <row r="213" spans="2:9" s="264" customFormat="1">
      <c r="B213" s="271"/>
      <c r="C213" s="271"/>
      <c r="F213" s="265"/>
      <c r="G213" s="266"/>
      <c r="H213" s="265"/>
      <c r="I213" s="265"/>
    </row>
    <row r="214" spans="2:9" s="264" customFormat="1">
      <c r="B214" s="271"/>
      <c r="C214" s="271"/>
      <c r="F214" s="265"/>
      <c r="G214" s="266"/>
      <c r="H214" s="265"/>
      <c r="I214" s="265"/>
    </row>
    <row r="215" spans="2:9" s="264" customFormat="1">
      <c r="B215" s="271"/>
      <c r="C215" s="271"/>
      <c r="F215" s="265"/>
      <c r="G215" s="266"/>
      <c r="H215" s="265"/>
      <c r="I215" s="265"/>
    </row>
    <row r="216" spans="2:9" s="264" customFormat="1">
      <c r="B216" s="271"/>
      <c r="C216" s="271"/>
      <c r="F216" s="265"/>
      <c r="G216" s="266"/>
      <c r="H216" s="265"/>
      <c r="I216" s="265"/>
    </row>
    <row r="217" spans="2:9" s="264" customFormat="1">
      <c r="B217" s="271"/>
      <c r="C217" s="271"/>
      <c r="F217" s="265"/>
      <c r="G217" s="266"/>
      <c r="H217" s="265"/>
      <c r="I217" s="265"/>
    </row>
    <row r="218" spans="2:9" s="264" customFormat="1">
      <c r="B218" s="271"/>
      <c r="C218" s="271"/>
      <c r="F218" s="265"/>
      <c r="G218" s="266"/>
      <c r="H218" s="265"/>
      <c r="I218" s="265"/>
    </row>
    <row r="219" spans="2:9" s="264" customFormat="1">
      <c r="B219" s="271"/>
      <c r="C219" s="271"/>
      <c r="F219" s="265"/>
      <c r="G219" s="266"/>
      <c r="H219" s="265"/>
      <c r="I219" s="265"/>
    </row>
    <row r="220" spans="2:9" s="264" customFormat="1">
      <c r="B220" s="271"/>
      <c r="C220" s="271"/>
      <c r="F220" s="265"/>
      <c r="G220" s="266"/>
      <c r="H220" s="265"/>
      <c r="I220" s="265"/>
    </row>
    <row r="221" spans="2:9" s="264" customFormat="1">
      <c r="B221" s="271"/>
      <c r="C221" s="271"/>
      <c r="F221" s="265"/>
      <c r="G221" s="266"/>
      <c r="H221" s="265"/>
      <c r="I221" s="265"/>
    </row>
    <row r="222" spans="2:9" s="264" customFormat="1">
      <c r="B222" s="271"/>
      <c r="C222" s="271"/>
      <c r="F222" s="265"/>
      <c r="G222" s="266"/>
      <c r="H222" s="265"/>
      <c r="I222" s="265"/>
    </row>
    <row r="223" spans="2:9" s="264" customFormat="1">
      <c r="B223" s="271"/>
      <c r="C223" s="271"/>
      <c r="F223" s="265"/>
      <c r="G223" s="266"/>
      <c r="H223" s="265"/>
      <c r="I223" s="265"/>
    </row>
    <row r="224" spans="2:9" s="264" customFormat="1">
      <c r="B224" s="271"/>
      <c r="C224" s="271"/>
      <c r="F224" s="265"/>
      <c r="G224" s="266"/>
      <c r="H224" s="265"/>
      <c r="I224" s="265"/>
    </row>
    <row r="225" spans="2:9" s="264" customFormat="1">
      <c r="B225" s="271"/>
      <c r="C225" s="271"/>
      <c r="F225" s="265"/>
      <c r="G225" s="266"/>
      <c r="H225" s="265"/>
      <c r="I225" s="265"/>
    </row>
    <row r="226" spans="2:9" s="264" customFormat="1">
      <c r="B226" s="271"/>
      <c r="C226" s="271"/>
      <c r="F226" s="265"/>
      <c r="G226" s="266"/>
      <c r="H226" s="265"/>
      <c r="I226" s="265"/>
    </row>
    <row r="227" spans="2:9" s="264" customFormat="1">
      <c r="B227" s="271"/>
      <c r="C227" s="271"/>
      <c r="F227" s="265"/>
      <c r="G227" s="266"/>
      <c r="H227" s="265"/>
      <c r="I227" s="265"/>
    </row>
    <row r="228" spans="2:9" s="264" customFormat="1">
      <c r="B228" s="271"/>
      <c r="C228" s="271"/>
      <c r="F228" s="265"/>
      <c r="G228" s="266"/>
      <c r="H228" s="265"/>
      <c r="I228" s="265"/>
    </row>
    <row r="229" spans="2:9" s="264" customFormat="1">
      <c r="B229" s="271"/>
      <c r="C229" s="271"/>
      <c r="F229" s="265"/>
      <c r="G229" s="266"/>
      <c r="H229" s="265"/>
      <c r="I229" s="265"/>
    </row>
    <row r="230" spans="2:9" s="264" customFormat="1">
      <c r="B230" s="271"/>
      <c r="C230" s="271"/>
      <c r="F230" s="265"/>
      <c r="G230" s="266"/>
      <c r="H230" s="265"/>
      <c r="I230" s="265"/>
    </row>
    <row r="231" spans="2:9" s="264" customFormat="1">
      <c r="B231" s="271"/>
      <c r="C231" s="271"/>
      <c r="F231" s="265"/>
      <c r="G231" s="266"/>
      <c r="H231" s="265"/>
      <c r="I231" s="265"/>
    </row>
    <row r="232" spans="2:9" s="264" customFormat="1">
      <c r="B232" s="271"/>
      <c r="C232" s="271"/>
      <c r="F232" s="265"/>
      <c r="G232" s="266"/>
      <c r="H232" s="265"/>
      <c r="I232" s="265"/>
    </row>
    <row r="233" spans="2:9" s="264" customFormat="1">
      <c r="B233" s="271"/>
      <c r="C233" s="271"/>
      <c r="F233" s="265"/>
      <c r="G233" s="266"/>
      <c r="H233" s="265"/>
      <c r="I233" s="265"/>
    </row>
    <row r="234" spans="2:9" s="264" customFormat="1">
      <c r="B234" s="271"/>
      <c r="C234" s="271"/>
      <c r="F234" s="265"/>
      <c r="G234" s="266"/>
      <c r="H234" s="265"/>
      <c r="I234" s="265"/>
    </row>
    <row r="235" spans="2:9" s="264" customFormat="1">
      <c r="B235" s="271"/>
      <c r="C235" s="271"/>
      <c r="F235" s="265"/>
      <c r="G235" s="266"/>
      <c r="H235" s="265"/>
      <c r="I235" s="265"/>
    </row>
    <row r="236" spans="2:9" s="264" customFormat="1">
      <c r="B236" s="271"/>
      <c r="C236" s="271"/>
      <c r="F236" s="265"/>
      <c r="G236" s="266"/>
      <c r="H236" s="265"/>
      <c r="I236" s="265"/>
    </row>
    <row r="237" spans="2:9" s="264" customFormat="1">
      <c r="B237" s="271"/>
      <c r="C237" s="271"/>
      <c r="F237" s="265"/>
      <c r="G237" s="266"/>
      <c r="H237" s="265"/>
      <c r="I237" s="265"/>
    </row>
    <row r="238" spans="2:9" s="264" customFormat="1">
      <c r="B238" s="271"/>
      <c r="C238" s="271"/>
      <c r="F238" s="265"/>
      <c r="G238" s="266"/>
      <c r="H238" s="265"/>
      <c r="I238" s="265"/>
    </row>
    <row r="239" spans="2:9" s="264" customFormat="1">
      <c r="B239" s="271"/>
      <c r="C239" s="271"/>
      <c r="F239" s="265"/>
      <c r="G239" s="266"/>
      <c r="H239" s="265"/>
      <c r="I239" s="265"/>
    </row>
    <row r="240" spans="2:9" s="264" customFormat="1">
      <c r="B240" s="271"/>
      <c r="C240" s="271"/>
      <c r="F240" s="265"/>
      <c r="G240" s="266"/>
      <c r="H240" s="265"/>
      <c r="I240" s="265"/>
    </row>
    <row r="241" spans="2:9" s="264" customFormat="1">
      <c r="B241" s="271"/>
      <c r="C241" s="271"/>
      <c r="F241" s="265"/>
      <c r="G241" s="266"/>
      <c r="H241" s="265"/>
      <c r="I241" s="265"/>
    </row>
  </sheetData>
  <sheetProtection algorithmName="SHA-512" hashValue="LMc7D+vyJJIY+iMoYt4zefI3FYslKJpbxwpAIeSGj74vT4rh4i7j0Pe+X2u/PdZjPNULDj7jU2TmVhEd2KfEfw==" saltValue="uSrMEv2hTspNsxINRSmAWA==" spinCount="100000" sheet="1" objects="1" scenarios="1"/>
  <mergeCells count="27">
    <mergeCell ref="B49:D49"/>
    <mergeCell ref="E3:I4"/>
    <mergeCell ref="B1:D1"/>
    <mergeCell ref="B2:D2"/>
    <mergeCell ref="C16:D16"/>
    <mergeCell ref="C33:D33"/>
    <mergeCell ref="B3:D6"/>
    <mergeCell ref="B7:D7"/>
    <mergeCell ref="B15:D15"/>
    <mergeCell ref="B32:D32"/>
    <mergeCell ref="C8:D8"/>
    <mergeCell ref="D61:D62"/>
    <mergeCell ref="E61:E62"/>
    <mergeCell ref="E5:F5"/>
    <mergeCell ref="H5:I5"/>
    <mergeCell ref="H8:I8"/>
    <mergeCell ref="E60:F60"/>
    <mergeCell ref="B58:D58"/>
    <mergeCell ref="B59:D59"/>
    <mergeCell ref="B55:D55"/>
    <mergeCell ref="B60:D60"/>
    <mergeCell ref="C39:D39"/>
    <mergeCell ref="C50:D50"/>
    <mergeCell ref="C56:D56"/>
    <mergeCell ref="B36:D36"/>
    <mergeCell ref="B37:D37"/>
    <mergeCell ref="B54:D54"/>
  </mergeCells>
  <phoneticPr fontId="14" type="noConversion"/>
  <printOptions horizontalCentered="1"/>
  <pageMargins left="0.27559055118110237" right="0.11811023622047245" top="0.6692913385826772" bottom="0.45" header="0.27" footer="0.22"/>
  <pageSetup paperSize="9" scale="78" orientation="portrait" horizontalDpi="4294967294" r:id="rId1"/>
  <headerFooter alignWithMargins="0">
    <oddHeader>&amp;L&amp;"Arial,Fett"&amp;A&amp;C&amp;D&amp;R&amp;"Arial,Fett"UNIVERSITÄTSKLINIKUM AACHEN&amp;"Arial,Standard"
Geschäftsbereich Betriebe</oddHeader>
    <oddFooter>&amp;RSeite &amp;P von &amp;N</oddFooter>
  </headerFooter>
  <rowBreaks count="1" manualBreakCount="1">
    <brk id="37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A240"/>
  <sheetViews>
    <sheetView workbookViewId="0">
      <selection activeCell="I16" sqref="I16"/>
    </sheetView>
  </sheetViews>
  <sheetFormatPr baseColWidth="10" defaultColWidth="11.44140625" defaultRowHeight="14.4"/>
  <cols>
    <col min="1" max="1" width="3.109375" style="260" customWidth="1"/>
    <col min="2" max="2" width="8.88671875" style="70" customWidth="1"/>
    <col min="3" max="3" width="38.44140625" style="70" customWidth="1"/>
    <col min="4" max="4" width="12.88671875" style="72" hidden="1" customWidth="1"/>
    <col min="5" max="5" width="8.44140625" style="72" hidden="1" customWidth="1"/>
    <col min="6" max="6" width="9.44140625" style="72" hidden="1" customWidth="1"/>
    <col min="7" max="7" width="19.109375" style="72" hidden="1" customWidth="1"/>
    <col min="8" max="8" width="23.33203125" style="70" customWidth="1"/>
    <col min="9" max="9" width="21.6640625" style="70" customWidth="1"/>
    <col min="10" max="53" width="11.44140625" style="260"/>
    <col min="54" max="16384" width="11.44140625" style="70"/>
  </cols>
  <sheetData>
    <row r="1" spans="1:53" s="260" customFormat="1">
      <c r="D1" s="261"/>
      <c r="E1" s="261"/>
      <c r="F1" s="261"/>
      <c r="G1" s="261"/>
    </row>
    <row r="2" spans="1:53" ht="30" customHeight="1">
      <c r="B2" s="412" t="s">
        <v>139</v>
      </c>
      <c r="C2" s="414"/>
      <c r="D2" s="74"/>
      <c r="E2" s="74"/>
      <c r="F2" s="74"/>
      <c r="G2" s="128"/>
      <c r="H2" s="73" t="s">
        <v>138</v>
      </c>
      <c r="I2" s="73" t="s">
        <v>138</v>
      </c>
    </row>
    <row r="3" spans="1:53" ht="15" customHeight="1">
      <c r="B3" s="413"/>
      <c r="C3" s="415"/>
      <c r="D3" s="76" t="s">
        <v>147</v>
      </c>
      <c r="E3" s="76" t="s">
        <v>148</v>
      </c>
      <c r="F3" s="76" t="s">
        <v>149</v>
      </c>
      <c r="G3" s="146"/>
      <c r="H3" s="323" t="s">
        <v>26</v>
      </c>
      <c r="I3" s="162" t="s">
        <v>116</v>
      </c>
    </row>
    <row r="4" spans="1:53" s="71" customFormat="1" ht="33" customHeight="1">
      <c r="A4" s="267"/>
      <c r="B4" s="127">
        <v>1</v>
      </c>
      <c r="C4" s="69" t="s">
        <v>137</v>
      </c>
      <c r="D4" s="77">
        <v>365</v>
      </c>
      <c r="E4" s="223">
        <v>52.142857142857146</v>
      </c>
      <c r="F4" s="77">
        <v>9.6999999999999993</v>
      </c>
      <c r="G4" s="222">
        <f>E4</f>
        <v>52.142857142857146</v>
      </c>
      <c r="H4" s="147">
        <f>G4/12</f>
        <v>4.3452380952380958</v>
      </c>
      <c r="I4" s="147"/>
      <c r="J4" s="267"/>
      <c r="K4" s="272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</row>
    <row r="5" spans="1:53" s="71" customFormat="1" ht="33" customHeight="1">
      <c r="A5" s="267"/>
      <c r="B5" s="127">
        <v>2</v>
      </c>
      <c r="C5" s="69" t="s">
        <v>136</v>
      </c>
      <c r="D5" s="77">
        <v>365</v>
      </c>
      <c r="E5" s="223">
        <v>52.142857142857146</v>
      </c>
      <c r="F5" s="77">
        <v>9.6999999999999993</v>
      </c>
      <c r="G5" s="222">
        <f>E5*2</f>
        <v>104.28571428571429</v>
      </c>
      <c r="H5" s="147">
        <f>G5/12</f>
        <v>8.6904761904761916</v>
      </c>
      <c r="I5" s="14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</row>
    <row r="6" spans="1:53" s="71" customFormat="1" ht="33" hidden="1" customHeight="1">
      <c r="A6" s="267"/>
      <c r="B6" s="127" t="s">
        <v>158</v>
      </c>
      <c r="C6" s="145" t="s">
        <v>159</v>
      </c>
      <c r="D6" s="77"/>
      <c r="E6" s="223">
        <v>52.142857142857146</v>
      </c>
      <c r="F6" s="77">
        <v>9.6999999999999993</v>
      </c>
      <c r="G6" s="222">
        <f>2*52</f>
        <v>104</v>
      </c>
      <c r="H6" s="147">
        <f>4.33</f>
        <v>4.33</v>
      </c>
      <c r="I6" s="147">
        <v>4.33</v>
      </c>
      <c r="J6" s="267"/>
      <c r="K6" s="273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</row>
    <row r="7" spans="1:53" s="71" customFormat="1" ht="33" customHeight="1">
      <c r="A7" s="267"/>
      <c r="B7" s="127">
        <v>3</v>
      </c>
      <c r="C7" s="69" t="s">
        <v>135</v>
      </c>
      <c r="D7" s="77">
        <v>365</v>
      </c>
      <c r="E7" s="223">
        <v>52.142857142857146</v>
      </c>
      <c r="F7" s="77">
        <v>9.6999999999999993</v>
      </c>
      <c r="G7" s="222">
        <f>E7*3</f>
        <v>156.42857142857144</v>
      </c>
      <c r="H7" s="147">
        <f>G7/12</f>
        <v>13.035714285714286</v>
      </c>
      <c r="I7" s="14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7"/>
      <c r="BA7" s="267"/>
    </row>
    <row r="8" spans="1:53" s="71" customFormat="1" ht="33" hidden="1" customHeight="1">
      <c r="A8" s="267"/>
      <c r="B8" s="127" t="s">
        <v>134</v>
      </c>
      <c r="C8" s="69" t="s">
        <v>133</v>
      </c>
      <c r="D8" s="77">
        <v>365</v>
      </c>
      <c r="E8" s="223">
        <v>52.142857142857146</v>
      </c>
      <c r="F8" s="77">
        <v>9.6999999999999993</v>
      </c>
      <c r="G8" s="222">
        <f t="shared" ref="G8:G9" si="0">E8*3</f>
        <v>156.42857142857144</v>
      </c>
      <c r="H8" s="147">
        <f t="shared" ref="H8:H10" si="1">G8/12</f>
        <v>13.035714285714286</v>
      </c>
      <c r="I8" s="14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7"/>
      <c r="AR8" s="267"/>
      <c r="AS8" s="267"/>
      <c r="AT8" s="267"/>
      <c r="AU8" s="267"/>
      <c r="AV8" s="267"/>
      <c r="AW8" s="267"/>
      <c r="AX8" s="267"/>
      <c r="AY8" s="267"/>
      <c r="AZ8" s="267"/>
      <c r="BA8" s="267"/>
    </row>
    <row r="9" spans="1:53" s="71" customFormat="1" ht="33" hidden="1" customHeight="1">
      <c r="A9" s="267"/>
      <c r="B9" s="127" t="s">
        <v>160</v>
      </c>
      <c r="C9" s="145" t="s">
        <v>161</v>
      </c>
      <c r="D9" s="77">
        <v>365</v>
      </c>
      <c r="E9" s="223">
        <v>52.142857142857146</v>
      </c>
      <c r="F9" s="77">
        <v>9.6999999999999993</v>
      </c>
      <c r="G9" s="222">
        <f t="shared" si="0"/>
        <v>156.42857142857144</v>
      </c>
      <c r="H9" s="147">
        <f t="shared" si="1"/>
        <v>13.035714285714286</v>
      </c>
      <c r="I9" s="147">
        <v>4.33</v>
      </c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267"/>
      <c r="AU9" s="267"/>
      <c r="AV9" s="267"/>
      <c r="AW9" s="267"/>
      <c r="AX9" s="267"/>
      <c r="AY9" s="267"/>
      <c r="AZ9" s="267"/>
      <c r="BA9" s="267"/>
    </row>
    <row r="10" spans="1:53" s="71" customFormat="1" ht="33" customHeight="1">
      <c r="A10" s="267"/>
      <c r="B10" s="127">
        <v>4</v>
      </c>
      <c r="C10" s="220" t="s">
        <v>177</v>
      </c>
      <c r="D10" s="77">
        <v>365</v>
      </c>
      <c r="E10" s="223">
        <v>52.142857142857146</v>
      </c>
      <c r="F10" s="77">
        <v>9.6999999999999993</v>
      </c>
      <c r="G10" s="222">
        <f>E10*B10-(F10*(B10/B11))</f>
        <v>200.81142857142859</v>
      </c>
      <c r="H10" s="147">
        <f t="shared" si="1"/>
        <v>16.734285714285715</v>
      </c>
      <c r="I10" s="14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7"/>
      <c r="AN10" s="267"/>
      <c r="AO10" s="267"/>
      <c r="AP10" s="267"/>
      <c r="AQ10" s="267"/>
      <c r="AR10" s="267"/>
      <c r="AS10" s="267"/>
      <c r="AT10" s="267"/>
      <c r="AU10" s="267"/>
      <c r="AV10" s="267"/>
      <c r="AW10" s="267"/>
      <c r="AX10" s="267"/>
      <c r="AY10" s="267"/>
      <c r="AZ10" s="267"/>
      <c r="BA10" s="267"/>
    </row>
    <row r="11" spans="1:53" s="71" customFormat="1" ht="33" customHeight="1">
      <c r="A11" s="267"/>
      <c r="B11" s="127">
        <v>5</v>
      </c>
      <c r="C11" s="220" t="s">
        <v>178</v>
      </c>
      <c r="D11" s="77">
        <v>365</v>
      </c>
      <c r="E11" s="223">
        <v>52.142857142857146</v>
      </c>
      <c r="F11" s="77">
        <v>9.6999999999999993</v>
      </c>
      <c r="G11" s="222">
        <f>E11*B11-F11</f>
        <v>251.01428571428573</v>
      </c>
      <c r="H11" s="147">
        <f t="shared" ref="H11:H22" si="2">G11/12</f>
        <v>20.917857142857144</v>
      </c>
      <c r="I11" s="14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</row>
    <row r="12" spans="1:53" s="71" customFormat="1" ht="33" hidden="1" customHeight="1">
      <c r="A12" s="267"/>
      <c r="B12" s="127" t="s">
        <v>134</v>
      </c>
      <c r="C12" s="69" t="s">
        <v>132</v>
      </c>
      <c r="D12" s="77">
        <v>365</v>
      </c>
      <c r="E12" s="223">
        <v>52.142857142857146</v>
      </c>
      <c r="F12" s="77">
        <v>9.6999999999999993</v>
      </c>
      <c r="G12" s="127">
        <f>E12*5</f>
        <v>260.71428571428572</v>
      </c>
      <c r="H12" s="147">
        <f t="shared" si="2"/>
        <v>21.726190476190478</v>
      </c>
      <c r="I12" s="14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</row>
    <row r="13" spans="1:53" s="71" customFormat="1" ht="33" hidden="1" customHeight="1">
      <c r="A13" s="267"/>
      <c r="B13" s="127">
        <v>5.5</v>
      </c>
      <c r="C13" s="69" t="s">
        <v>145</v>
      </c>
      <c r="D13" s="77">
        <v>365</v>
      </c>
      <c r="E13" s="223">
        <v>52.142857142857146</v>
      </c>
      <c r="F13" s="77">
        <v>9.6999999999999993</v>
      </c>
      <c r="G13" s="127">
        <f>365-52</f>
        <v>313</v>
      </c>
      <c r="H13" s="147">
        <f t="shared" si="2"/>
        <v>26.083333333333332</v>
      </c>
      <c r="I13" s="14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67"/>
      <c r="AL13" s="267"/>
      <c r="AM13" s="267"/>
      <c r="AN13" s="267"/>
      <c r="AO13" s="267"/>
      <c r="AP13" s="267"/>
      <c r="AQ13" s="267"/>
      <c r="AR13" s="267"/>
      <c r="AS13" s="267"/>
      <c r="AT13" s="267"/>
      <c r="AU13" s="267"/>
      <c r="AV13" s="267"/>
      <c r="AW13" s="267"/>
      <c r="AX13" s="267"/>
      <c r="AY13" s="267"/>
      <c r="AZ13" s="267"/>
      <c r="BA13" s="267"/>
    </row>
    <row r="14" spans="1:53" s="71" customFormat="1" ht="33" customHeight="1">
      <c r="A14" s="267"/>
      <c r="B14" s="127">
        <v>6</v>
      </c>
      <c r="C14" s="69" t="s">
        <v>131</v>
      </c>
      <c r="D14" s="77">
        <v>365</v>
      </c>
      <c r="E14" s="223">
        <v>52.142857142857146</v>
      </c>
      <c r="F14" s="77">
        <v>9.6999999999999993</v>
      </c>
      <c r="G14" s="221">
        <f>D14-E14-F14</f>
        <v>303.15714285714284</v>
      </c>
      <c r="H14" s="147">
        <f>G14/12</f>
        <v>25.263095238095236</v>
      </c>
      <c r="I14" s="14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</row>
    <row r="15" spans="1:53" s="71" customFormat="1" ht="33" hidden="1" customHeight="1">
      <c r="A15" s="267"/>
      <c r="B15" s="127" t="s">
        <v>192</v>
      </c>
      <c r="C15" s="289" t="s">
        <v>193</v>
      </c>
      <c r="D15" s="77">
        <v>365</v>
      </c>
      <c r="E15" s="223">
        <v>52.142857142857146</v>
      </c>
      <c r="F15" s="77">
        <v>9.6999999999999993</v>
      </c>
      <c r="G15" s="127">
        <f>D15-E15-F15</f>
        <v>303.15714285714284</v>
      </c>
      <c r="H15" s="147">
        <f t="shared" si="2"/>
        <v>25.263095238095236</v>
      </c>
      <c r="I15" s="147">
        <f>F15/12</f>
        <v>0.80833333333333324</v>
      </c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</row>
    <row r="16" spans="1:53" s="71" customFormat="1" ht="33" customHeight="1">
      <c r="A16" s="267"/>
      <c r="B16" s="127">
        <v>7</v>
      </c>
      <c r="C16" s="69" t="s">
        <v>130</v>
      </c>
      <c r="D16" s="77">
        <v>365</v>
      </c>
      <c r="E16" s="223">
        <v>52.142857142857146</v>
      </c>
      <c r="F16" s="77">
        <v>9.6999999999999993</v>
      </c>
      <c r="G16" s="127">
        <v>365</v>
      </c>
      <c r="H16" s="147">
        <f t="shared" si="2"/>
        <v>30.416666666666668</v>
      </c>
      <c r="I16" s="147">
        <f>52/12</f>
        <v>4.333333333333333</v>
      </c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  <c r="AM16" s="267"/>
      <c r="AN16" s="267"/>
      <c r="AO16" s="267"/>
      <c r="AP16" s="267"/>
      <c r="AQ16" s="267"/>
      <c r="AR16" s="267"/>
      <c r="AS16" s="267"/>
      <c r="AT16" s="267"/>
      <c r="AU16" s="267"/>
      <c r="AV16" s="267"/>
      <c r="AW16" s="267"/>
      <c r="AX16" s="267"/>
      <c r="AY16" s="267"/>
      <c r="AZ16" s="267"/>
      <c r="BA16" s="267"/>
    </row>
    <row r="17" spans="1:53" s="71" customFormat="1" ht="33" hidden="1" customHeight="1">
      <c r="A17" s="267"/>
      <c r="B17" s="127">
        <v>10</v>
      </c>
      <c r="C17" s="69" t="s">
        <v>129</v>
      </c>
      <c r="D17" s="77">
        <v>365</v>
      </c>
      <c r="E17" s="223">
        <v>52.142857142857146</v>
      </c>
      <c r="F17" s="77">
        <v>9.6999999999999993</v>
      </c>
      <c r="G17" s="127">
        <f>(D17-2*E17-F17)*2</f>
        <v>502.02857142857147</v>
      </c>
      <c r="H17" s="147">
        <f t="shared" si="2"/>
        <v>41.835714285714289</v>
      </c>
      <c r="I17" s="14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7"/>
      <c r="AU17" s="267"/>
      <c r="AV17" s="267"/>
      <c r="AW17" s="267"/>
      <c r="AX17" s="267"/>
      <c r="AY17" s="267"/>
      <c r="AZ17" s="267"/>
      <c r="BA17" s="267"/>
    </row>
    <row r="18" spans="1:53" s="71" customFormat="1" ht="33" hidden="1" customHeight="1">
      <c r="A18" s="267"/>
      <c r="B18" s="127">
        <v>12</v>
      </c>
      <c r="C18" s="69" t="s">
        <v>128</v>
      </c>
      <c r="D18" s="77">
        <v>365</v>
      </c>
      <c r="E18" s="223">
        <v>52.142857142857146</v>
      </c>
      <c r="F18" s="77">
        <v>9.6999999999999993</v>
      </c>
      <c r="G18" s="127">
        <f>(D18-E18-F18)*2</f>
        <v>606.31428571428569</v>
      </c>
      <c r="H18" s="147">
        <f t="shared" si="2"/>
        <v>50.526190476190472</v>
      </c>
      <c r="I18" s="14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</row>
    <row r="19" spans="1:53" s="71" customFormat="1" ht="33" hidden="1" customHeight="1">
      <c r="A19" s="267"/>
      <c r="B19" s="127">
        <v>13</v>
      </c>
      <c r="C19" s="75" t="s">
        <v>146</v>
      </c>
      <c r="D19" s="77">
        <v>365</v>
      </c>
      <c r="E19" s="223">
        <v>52.142857142857146</v>
      </c>
      <c r="F19" s="77">
        <v>9.6999999999999993</v>
      </c>
      <c r="G19" s="127">
        <f>G15*2</f>
        <v>606.31428571428569</v>
      </c>
      <c r="H19" s="147">
        <f t="shared" si="2"/>
        <v>50.526190476190472</v>
      </c>
      <c r="I19" s="147">
        <f>2*52/12/2</f>
        <v>4.333333333333333</v>
      </c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67"/>
      <c r="AK19" s="267"/>
      <c r="AL19" s="267"/>
      <c r="AM19" s="267"/>
      <c r="AN19" s="267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</row>
    <row r="20" spans="1:53" s="71" customFormat="1" ht="33" customHeight="1">
      <c r="A20" s="267"/>
      <c r="B20" s="127" t="s">
        <v>123</v>
      </c>
      <c r="C20" s="69" t="s">
        <v>127</v>
      </c>
      <c r="D20" s="77">
        <v>365</v>
      </c>
      <c r="E20" s="223">
        <v>52.142857142857146</v>
      </c>
      <c r="F20" s="77">
        <v>9.6999999999999993</v>
      </c>
      <c r="G20" s="127">
        <v>12</v>
      </c>
      <c r="H20" s="147">
        <f t="shared" si="2"/>
        <v>1</v>
      </c>
      <c r="I20" s="14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7"/>
      <c r="AN20" s="267"/>
      <c r="AO20" s="267"/>
      <c r="AP20" s="267"/>
      <c r="AQ20" s="267"/>
      <c r="AR20" s="267"/>
      <c r="AS20" s="267"/>
      <c r="AT20" s="267"/>
      <c r="AU20" s="267"/>
      <c r="AV20" s="267"/>
      <c r="AW20" s="267"/>
      <c r="AX20" s="267"/>
      <c r="AY20" s="267"/>
      <c r="AZ20" s="267"/>
      <c r="BA20" s="267"/>
    </row>
    <row r="21" spans="1:53" s="71" customFormat="1" ht="33" customHeight="1">
      <c r="A21" s="267"/>
      <c r="B21" s="127" t="s">
        <v>631</v>
      </c>
      <c r="C21" s="335" t="s">
        <v>632</v>
      </c>
      <c r="D21" s="77">
        <v>365</v>
      </c>
      <c r="E21" s="223">
        <v>52.142857142857146</v>
      </c>
      <c r="F21" s="77">
        <v>9.6999999999999993</v>
      </c>
      <c r="G21" s="127">
        <v>24</v>
      </c>
      <c r="H21" s="147">
        <v>4</v>
      </c>
      <c r="I21" s="14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  <c r="AM21" s="267"/>
      <c r="AN21" s="267"/>
      <c r="AO21" s="267"/>
      <c r="AP21" s="267"/>
      <c r="AQ21" s="267"/>
      <c r="AR21" s="267"/>
      <c r="AS21" s="267"/>
      <c r="AT21" s="267"/>
      <c r="AU21" s="267"/>
      <c r="AV21" s="267"/>
      <c r="AW21" s="267"/>
      <c r="AX21" s="267"/>
      <c r="AY21" s="267"/>
      <c r="AZ21" s="267"/>
      <c r="BA21" s="267"/>
    </row>
    <row r="22" spans="1:53" s="71" customFormat="1" ht="33" hidden="1" customHeight="1">
      <c r="A22" s="267"/>
      <c r="B22" s="127" t="s">
        <v>121</v>
      </c>
      <c r="C22" s="69" t="s">
        <v>126</v>
      </c>
      <c r="D22" s="77">
        <v>365</v>
      </c>
      <c r="E22" s="223">
        <v>52.142857142857146</v>
      </c>
      <c r="F22" s="77">
        <v>9.6999999999999993</v>
      </c>
      <c r="G22" s="127">
        <v>1</v>
      </c>
      <c r="H22" s="147">
        <f t="shared" si="2"/>
        <v>8.3333333333333329E-2</v>
      </c>
      <c r="I22" s="147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67"/>
      <c r="AK22" s="267"/>
      <c r="AL22" s="267"/>
      <c r="AM22" s="267"/>
      <c r="AN22" s="267"/>
      <c r="AO22" s="267"/>
      <c r="AP22" s="267"/>
      <c r="AQ22" s="267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</row>
    <row r="23" spans="1:53" s="71" customFormat="1" ht="33" customHeight="1">
      <c r="A23" s="267"/>
      <c r="B23" s="127" t="s">
        <v>122</v>
      </c>
      <c r="C23" s="69" t="s">
        <v>125</v>
      </c>
      <c r="D23" s="77">
        <v>365</v>
      </c>
      <c r="E23" s="223">
        <v>52.142857142857146</v>
      </c>
      <c r="F23" s="77">
        <v>9.6999999999999993</v>
      </c>
      <c r="G23" s="127">
        <v>2</v>
      </c>
      <c r="H23" s="147">
        <f t="shared" ref="H23" si="3">G23/12</f>
        <v>0.16666666666666666</v>
      </c>
      <c r="I23" s="14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67"/>
      <c r="AK23" s="267"/>
      <c r="AL23" s="267"/>
      <c r="AM23" s="267"/>
      <c r="AN23" s="267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</row>
    <row r="24" spans="1:53" s="71" customFormat="1" ht="33" customHeight="1">
      <c r="A24" s="267"/>
      <c r="B24" s="127" t="s">
        <v>629</v>
      </c>
      <c r="C24" s="332" t="s">
        <v>630</v>
      </c>
      <c r="D24" s="77">
        <v>365</v>
      </c>
      <c r="E24" s="223">
        <v>52.142857142857146</v>
      </c>
      <c r="F24" s="77">
        <v>9.6999999999999993</v>
      </c>
      <c r="G24" s="127">
        <v>2</v>
      </c>
      <c r="H24" s="147">
        <f>H4</f>
        <v>4.3452380952380958</v>
      </c>
      <c r="I24" s="14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7"/>
      <c r="AQ24" s="267"/>
      <c r="AR24" s="267"/>
      <c r="AS24" s="267"/>
      <c r="AT24" s="267"/>
      <c r="AU24" s="267"/>
      <c r="AV24" s="267"/>
      <c r="AW24" s="267"/>
      <c r="AX24" s="267"/>
      <c r="AY24" s="267"/>
      <c r="AZ24" s="267"/>
      <c r="BA24" s="267"/>
    </row>
    <row r="25" spans="1:53" s="260" customFormat="1">
      <c r="D25" s="261"/>
      <c r="E25" s="261"/>
      <c r="F25" s="261"/>
      <c r="G25" s="261"/>
    </row>
    <row r="26" spans="1:53" s="260" customFormat="1">
      <c r="D26" s="261"/>
      <c r="E26" s="261"/>
      <c r="F26" s="261"/>
      <c r="G26" s="261"/>
    </row>
    <row r="27" spans="1:53" s="260" customFormat="1">
      <c r="D27" s="261"/>
      <c r="E27" s="261"/>
      <c r="F27" s="261"/>
      <c r="G27" s="261"/>
    </row>
    <row r="28" spans="1:53" s="260" customFormat="1">
      <c r="D28" s="261"/>
      <c r="E28" s="261"/>
      <c r="F28" s="261"/>
      <c r="G28" s="261"/>
    </row>
    <row r="29" spans="1:53" s="260" customFormat="1">
      <c r="D29" s="261"/>
      <c r="E29" s="261"/>
      <c r="F29" s="261"/>
      <c r="G29" s="261"/>
    </row>
    <row r="30" spans="1:53" s="260" customFormat="1">
      <c r="D30" s="261"/>
      <c r="E30" s="261"/>
      <c r="F30" s="261"/>
      <c r="G30" s="261"/>
    </row>
    <row r="31" spans="1:53" s="260" customFormat="1">
      <c r="D31" s="261"/>
      <c r="E31" s="261"/>
      <c r="F31" s="261"/>
      <c r="G31" s="261"/>
    </row>
    <row r="32" spans="1:53" s="260" customFormat="1">
      <c r="D32" s="261"/>
      <c r="E32" s="261"/>
      <c r="F32" s="261"/>
      <c r="G32" s="261"/>
    </row>
    <row r="33" spans="4:7" s="260" customFormat="1">
      <c r="D33" s="261"/>
      <c r="E33" s="261"/>
      <c r="F33" s="261"/>
      <c r="G33" s="261"/>
    </row>
    <row r="34" spans="4:7" s="260" customFormat="1">
      <c r="D34" s="261"/>
      <c r="E34" s="261"/>
      <c r="F34" s="261"/>
      <c r="G34" s="261"/>
    </row>
    <row r="35" spans="4:7" s="260" customFormat="1">
      <c r="D35" s="261"/>
      <c r="E35" s="261"/>
      <c r="F35" s="261"/>
      <c r="G35" s="261"/>
    </row>
    <row r="36" spans="4:7" s="260" customFormat="1">
      <c r="D36" s="261"/>
      <c r="E36" s="261"/>
      <c r="F36" s="261"/>
      <c r="G36" s="261"/>
    </row>
    <row r="37" spans="4:7" s="260" customFormat="1">
      <c r="D37" s="261"/>
      <c r="E37" s="261"/>
      <c r="F37" s="261"/>
      <c r="G37" s="261"/>
    </row>
    <row r="38" spans="4:7" s="260" customFormat="1">
      <c r="D38" s="261"/>
      <c r="E38" s="261"/>
      <c r="F38" s="261"/>
      <c r="G38" s="261"/>
    </row>
    <row r="39" spans="4:7" s="260" customFormat="1">
      <c r="D39" s="261"/>
      <c r="E39" s="261"/>
      <c r="F39" s="261"/>
      <c r="G39" s="261"/>
    </row>
    <row r="40" spans="4:7" s="260" customFormat="1">
      <c r="D40" s="261"/>
      <c r="E40" s="261"/>
      <c r="F40" s="261"/>
      <c r="G40" s="261"/>
    </row>
    <row r="41" spans="4:7" s="260" customFormat="1">
      <c r="D41" s="261"/>
      <c r="E41" s="261"/>
      <c r="F41" s="261"/>
      <c r="G41" s="261"/>
    </row>
    <row r="42" spans="4:7" s="260" customFormat="1">
      <c r="D42" s="261"/>
      <c r="E42" s="261"/>
      <c r="F42" s="261"/>
      <c r="G42" s="261"/>
    </row>
    <row r="43" spans="4:7" s="260" customFormat="1">
      <c r="D43" s="261"/>
      <c r="E43" s="261"/>
      <c r="F43" s="261"/>
      <c r="G43" s="261"/>
    </row>
    <row r="44" spans="4:7" s="260" customFormat="1">
      <c r="D44" s="261"/>
      <c r="E44" s="261"/>
      <c r="F44" s="261"/>
      <c r="G44" s="261"/>
    </row>
    <row r="45" spans="4:7" s="260" customFormat="1">
      <c r="D45" s="261"/>
      <c r="E45" s="261"/>
      <c r="F45" s="261"/>
      <c r="G45" s="261"/>
    </row>
    <row r="46" spans="4:7" s="260" customFormat="1">
      <c r="D46" s="261"/>
      <c r="E46" s="261"/>
      <c r="F46" s="261"/>
      <c r="G46" s="261"/>
    </row>
    <row r="47" spans="4:7" s="260" customFormat="1">
      <c r="D47" s="261"/>
      <c r="E47" s="261"/>
      <c r="F47" s="261"/>
      <c r="G47" s="261"/>
    </row>
    <row r="48" spans="4:7" s="260" customFormat="1">
      <c r="D48" s="261"/>
      <c r="E48" s="261"/>
      <c r="F48" s="261"/>
      <c r="G48" s="261"/>
    </row>
    <row r="49" spans="4:7" s="260" customFormat="1">
      <c r="D49" s="261"/>
      <c r="E49" s="261"/>
      <c r="F49" s="261"/>
      <c r="G49" s="261"/>
    </row>
    <row r="50" spans="4:7" s="260" customFormat="1">
      <c r="D50" s="261"/>
      <c r="E50" s="261"/>
      <c r="F50" s="261"/>
      <c r="G50" s="261"/>
    </row>
    <row r="51" spans="4:7" s="260" customFormat="1">
      <c r="D51" s="261"/>
      <c r="E51" s="261"/>
      <c r="F51" s="261"/>
      <c r="G51" s="261"/>
    </row>
    <row r="52" spans="4:7" s="260" customFormat="1">
      <c r="D52" s="261"/>
      <c r="E52" s="261"/>
      <c r="F52" s="261"/>
      <c r="G52" s="261"/>
    </row>
    <row r="53" spans="4:7" s="260" customFormat="1">
      <c r="D53" s="261"/>
      <c r="E53" s="261"/>
      <c r="F53" s="261"/>
      <c r="G53" s="261"/>
    </row>
    <row r="54" spans="4:7" s="260" customFormat="1">
      <c r="D54" s="261"/>
      <c r="E54" s="261"/>
      <c r="F54" s="261"/>
      <c r="G54" s="261"/>
    </row>
    <row r="55" spans="4:7" s="260" customFormat="1">
      <c r="D55" s="261"/>
      <c r="E55" s="261"/>
      <c r="F55" s="261"/>
      <c r="G55" s="261"/>
    </row>
    <row r="56" spans="4:7" s="260" customFormat="1">
      <c r="D56" s="261"/>
      <c r="E56" s="261"/>
      <c r="F56" s="261"/>
      <c r="G56" s="261"/>
    </row>
    <row r="57" spans="4:7" s="260" customFormat="1">
      <c r="D57" s="261"/>
      <c r="E57" s="261"/>
      <c r="F57" s="261"/>
      <c r="G57" s="261"/>
    </row>
    <row r="58" spans="4:7" s="260" customFormat="1">
      <c r="D58" s="261"/>
      <c r="E58" s="261"/>
      <c r="F58" s="261"/>
      <c r="G58" s="261"/>
    </row>
    <row r="59" spans="4:7" s="260" customFormat="1">
      <c r="D59" s="261"/>
      <c r="E59" s="261"/>
      <c r="F59" s="261"/>
      <c r="G59" s="261"/>
    </row>
    <row r="60" spans="4:7" s="260" customFormat="1">
      <c r="D60" s="261"/>
      <c r="E60" s="261"/>
      <c r="F60" s="261"/>
      <c r="G60" s="261"/>
    </row>
    <row r="61" spans="4:7" s="260" customFormat="1">
      <c r="D61" s="261"/>
      <c r="E61" s="261"/>
      <c r="F61" s="261"/>
      <c r="G61" s="261"/>
    </row>
    <row r="62" spans="4:7" s="260" customFormat="1">
      <c r="D62" s="261"/>
      <c r="E62" s="261"/>
      <c r="F62" s="261"/>
      <c r="G62" s="261"/>
    </row>
    <row r="63" spans="4:7" s="260" customFormat="1">
      <c r="D63" s="261"/>
      <c r="E63" s="261"/>
      <c r="F63" s="261"/>
      <c r="G63" s="261"/>
    </row>
    <row r="64" spans="4:7" s="260" customFormat="1">
      <c r="D64" s="261"/>
      <c r="E64" s="261"/>
      <c r="F64" s="261"/>
      <c r="G64" s="261"/>
    </row>
    <row r="65" spans="4:7" s="260" customFormat="1">
      <c r="D65" s="261"/>
      <c r="E65" s="261"/>
      <c r="F65" s="261"/>
      <c r="G65" s="261"/>
    </row>
    <row r="66" spans="4:7" s="260" customFormat="1">
      <c r="D66" s="261"/>
      <c r="E66" s="261"/>
      <c r="F66" s="261"/>
      <c r="G66" s="261"/>
    </row>
    <row r="67" spans="4:7" s="260" customFormat="1">
      <c r="D67" s="261"/>
      <c r="E67" s="261"/>
      <c r="F67" s="261"/>
      <c r="G67" s="261"/>
    </row>
    <row r="68" spans="4:7" s="260" customFormat="1">
      <c r="D68" s="261"/>
      <c r="E68" s="261"/>
      <c r="F68" s="261"/>
      <c r="G68" s="261"/>
    </row>
    <row r="69" spans="4:7" s="260" customFormat="1">
      <c r="D69" s="261"/>
      <c r="E69" s="261"/>
      <c r="F69" s="261"/>
      <c r="G69" s="261"/>
    </row>
    <row r="70" spans="4:7" s="260" customFormat="1">
      <c r="D70" s="261"/>
      <c r="E70" s="261"/>
      <c r="F70" s="261"/>
      <c r="G70" s="261"/>
    </row>
    <row r="71" spans="4:7" s="260" customFormat="1">
      <c r="D71" s="261"/>
      <c r="E71" s="261"/>
      <c r="F71" s="261"/>
      <c r="G71" s="261"/>
    </row>
    <row r="72" spans="4:7" s="260" customFormat="1">
      <c r="D72" s="261"/>
      <c r="E72" s="261"/>
      <c r="F72" s="261"/>
      <c r="G72" s="261"/>
    </row>
    <row r="73" spans="4:7" s="260" customFormat="1">
      <c r="D73" s="261"/>
      <c r="E73" s="261"/>
      <c r="F73" s="261"/>
      <c r="G73" s="261"/>
    </row>
    <row r="74" spans="4:7" s="260" customFormat="1">
      <c r="D74" s="261"/>
      <c r="E74" s="261"/>
      <c r="F74" s="261"/>
      <c r="G74" s="261"/>
    </row>
    <row r="75" spans="4:7" s="260" customFormat="1">
      <c r="D75" s="261"/>
      <c r="E75" s="261"/>
      <c r="F75" s="261"/>
      <c r="G75" s="261"/>
    </row>
    <row r="76" spans="4:7" s="260" customFormat="1">
      <c r="D76" s="261"/>
      <c r="E76" s="261"/>
      <c r="F76" s="261"/>
      <c r="G76" s="261"/>
    </row>
    <row r="77" spans="4:7" s="260" customFormat="1">
      <c r="D77" s="261"/>
      <c r="E77" s="261"/>
      <c r="F77" s="261"/>
      <c r="G77" s="261"/>
    </row>
    <row r="78" spans="4:7" s="260" customFormat="1">
      <c r="D78" s="261"/>
      <c r="E78" s="261"/>
      <c r="F78" s="261"/>
      <c r="G78" s="261"/>
    </row>
    <row r="79" spans="4:7" s="260" customFormat="1">
      <c r="D79" s="261"/>
      <c r="E79" s="261"/>
      <c r="F79" s="261"/>
      <c r="G79" s="261"/>
    </row>
    <row r="80" spans="4:7" s="260" customFormat="1">
      <c r="D80" s="261"/>
      <c r="E80" s="261"/>
      <c r="F80" s="261"/>
      <c r="G80" s="261"/>
    </row>
    <row r="81" spans="4:7" s="260" customFormat="1">
      <c r="D81" s="261"/>
      <c r="E81" s="261"/>
      <c r="F81" s="261"/>
      <c r="G81" s="261"/>
    </row>
    <row r="82" spans="4:7" s="260" customFormat="1">
      <c r="D82" s="261"/>
      <c r="E82" s="261"/>
      <c r="F82" s="261"/>
      <c r="G82" s="261"/>
    </row>
    <row r="83" spans="4:7" s="260" customFormat="1">
      <c r="D83" s="261"/>
      <c r="E83" s="261"/>
      <c r="F83" s="261"/>
      <c r="G83" s="261"/>
    </row>
    <row r="84" spans="4:7" s="260" customFormat="1">
      <c r="D84" s="261"/>
      <c r="E84" s="261"/>
      <c r="F84" s="261"/>
      <c r="G84" s="261"/>
    </row>
    <row r="85" spans="4:7" s="260" customFormat="1">
      <c r="D85" s="261"/>
      <c r="E85" s="261"/>
      <c r="F85" s="261"/>
      <c r="G85" s="261"/>
    </row>
    <row r="86" spans="4:7" s="260" customFormat="1">
      <c r="D86" s="261"/>
      <c r="E86" s="261"/>
      <c r="F86" s="261"/>
      <c r="G86" s="261"/>
    </row>
    <row r="87" spans="4:7" s="260" customFormat="1">
      <c r="D87" s="261"/>
      <c r="E87" s="261"/>
      <c r="F87" s="261"/>
      <c r="G87" s="261"/>
    </row>
    <row r="88" spans="4:7" s="260" customFormat="1">
      <c r="D88" s="261"/>
      <c r="E88" s="261"/>
      <c r="F88" s="261"/>
      <c r="G88" s="261"/>
    </row>
    <row r="89" spans="4:7" s="260" customFormat="1">
      <c r="D89" s="261"/>
      <c r="E89" s="261"/>
      <c r="F89" s="261"/>
      <c r="G89" s="261"/>
    </row>
    <row r="90" spans="4:7" s="260" customFormat="1">
      <c r="D90" s="261"/>
      <c r="E90" s="261"/>
      <c r="F90" s="261"/>
      <c r="G90" s="261"/>
    </row>
    <row r="91" spans="4:7" s="260" customFormat="1">
      <c r="D91" s="261"/>
      <c r="E91" s="261"/>
      <c r="F91" s="261"/>
      <c r="G91" s="261"/>
    </row>
    <row r="92" spans="4:7" s="260" customFormat="1">
      <c r="D92" s="261"/>
      <c r="E92" s="261"/>
      <c r="F92" s="261"/>
      <c r="G92" s="261"/>
    </row>
    <row r="93" spans="4:7" s="260" customFormat="1">
      <c r="D93" s="261"/>
      <c r="E93" s="261"/>
      <c r="F93" s="261"/>
      <c r="G93" s="261"/>
    </row>
    <row r="94" spans="4:7" s="260" customFormat="1">
      <c r="D94" s="261"/>
      <c r="E94" s="261"/>
      <c r="F94" s="261"/>
      <c r="G94" s="261"/>
    </row>
    <row r="95" spans="4:7" s="260" customFormat="1">
      <c r="D95" s="261"/>
      <c r="E95" s="261"/>
      <c r="F95" s="261"/>
      <c r="G95" s="261"/>
    </row>
    <row r="96" spans="4:7" s="260" customFormat="1">
      <c r="D96" s="261"/>
      <c r="E96" s="261"/>
      <c r="F96" s="261"/>
      <c r="G96" s="261"/>
    </row>
    <row r="97" spans="4:7" s="260" customFormat="1">
      <c r="D97" s="261"/>
      <c r="E97" s="261"/>
      <c r="F97" s="261"/>
      <c r="G97" s="261"/>
    </row>
    <row r="98" spans="4:7" s="260" customFormat="1">
      <c r="D98" s="261"/>
      <c r="E98" s="261"/>
      <c r="F98" s="261"/>
      <c r="G98" s="261"/>
    </row>
    <row r="99" spans="4:7" s="260" customFormat="1">
      <c r="D99" s="261"/>
      <c r="E99" s="261"/>
      <c r="F99" s="261"/>
      <c r="G99" s="261"/>
    </row>
    <row r="100" spans="4:7" s="260" customFormat="1">
      <c r="D100" s="261"/>
      <c r="E100" s="261"/>
      <c r="F100" s="261"/>
      <c r="G100" s="261"/>
    </row>
    <row r="101" spans="4:7" s="260" customFormat="1">
      <c r="D101" s="261"/>
      <c r="E101" s="261"/>
      <c r="F101" s="261"/>
      <c r="G101" s="261"/>
    </row>
    <row r="102" spans="4:7" s="260" customFormat="1">
      <c r="D102" s="261"/>
      <c r="E102" s="261"/>
      <c r="F102" s="261"/>
      <c r="G102" s="261"/>
    </row>
    <row r="103" spans="4:7" s="260" customFormat="1">
      <c r="D103" s="261"/>
      <c r="E103" s="261"/>
      <c r="F103" s="261"/>
      <c r="G103" s="261"/>
    </row>
    <row r="104" spans="4:7" s="260" customFormat="1">
      <c r="D104" s="261"/>
      <c r="E104" s="261"/>
      <c r="F104" s="261"/>
      <c r="G104" s="261"/>
    </row>
    <row r="105" spans="4:7" s="260" customFormat="1">
      <c r="D105" s="261"/>
      <c r="E105" s="261"/>
      <c r="F105" s="261"/>
      <c r="G105" s="261"/>
    </row>
    <row r="106" spans="4:7" s="260" customFormat="1">
      <c r="D106" s="261"/>
      <c r="E106" s="261"/>
      <c r="F106" s="261"/>
      <c r="G106" s="261"/>
    </row>
    <row r="107" spans="4:7" s="260" customFormat="1">
      <c r="D107" s="261"/>
      <c r="E107" s="261"/>
      <c r="F107" s="261"/>
      <c r="G107" s="261"/>
    </row>
    <row r="108" spans="4:7" s="260" customFormat="1">
      <c r="D108" s="261"/>
      <c r="E108" s="261"/>
      <c r="F108" s="261"/>
      <c r="G108" s="261"/>
    </row>
    <row r="109" spans="4:7" s="260" customFormat="1">
      <c r="D109" s="261"/>
      <c r="E109" s="261"/>
      <c r="F109" s="261"/>
      <c r="G109" s="261"/>
    </row>
    <row r="110" spans="4:7" s="260" customFormat="1">
      <c r="D110" s="261"/>
      <c r="E110" s="261"/>
      <c r="F110" s="261"/>
      <c r="G110" s="261"/>
    </row>
    <row r="111" spans="4:7" s="260" customFormat="1">
      <c r="D111" s="261"/>
      <c r="E111" s="261"/>
      <c r="F111" s="261"/>
      <c r="G111" s="261"/>
    </row>
    <row r="112" spans="4:7" s="260" customFormat="1">
      <c r="D112" s="261"/>
      <c r="E112" s="261"/>
      <c r="F112" s="261"/>
      <c r="G112" s="261"/>
    </row>
    <row r="113" spans="4:7" s="260" customFormat="1">
      <c r="D113" s="261"/>
      <c r="E113" s="261"/>
      <c r="F113" s="261"/>
      <c r="G113" s="261"/>
    </row>
    <row r="114" spans="4:7" s="260" customFormat="1">
      <c r="D114" s="261"/>
      <c r="E114" s="261"/>
      <c r="F114" s="261"/>
      <c r="G114" s="261"/>
    </row>
    <row r="115" spans="4:7" s="260" customFormat="1">
      <c r="D115" s="261"/>
      <c r="E115" s="261"/>
      <c r="F115" s="261"/>
      <c r="G115" s="261"/>
    </row>
    <row r="116" spans="4:7" s="260" customFormat="1">
      <c r="D116" s="261"/>
      <c r="E116" s="261"/>
      <c r="F116" s="261"/>
      <c r="G116" s="261"/>
    </row>
    <row r="117" spans="4:7" s="260" customFormat="1">
      <c r="D117" s="261"/>
      <c r="E117" s="261"/>
      <c r="F117" s="261"/>
      <c r="G117" s="261"/>
    </row>
    <row r="118" spans="4:7" s="260" customFormat="1">
      <c r="D118" s="261"/>
      <c r="E118" s="261"/>
      <c r="F118" s="261"/>
      <c r="G118" s="261"/>
    </row>
    <row r="119" spans="4:7" s="260" customFormat="1">
      <c r="D119" s="261"/>
      <c r="E119" s="261"/>
      <c r="F119" s="261"/>
      <c r="G119" s="261"/>
    </row>
    <row r="120" spans="4:7" s="260" customFormat="1">
      <c r="D120" s="261"/>
      <c r="E120" s="261"/>
      <c r="F120" s="261"/>
      <c r="G120" s="261"/>
    </row>
    <row r="121" spans="4:7" s="260" customFormat="1">
      <c r="D121" s="261"/>
      <c r="E121" s="261"/>
      <c r="F121" s="261"/>
      <c r="G121" s="261"/>
    </row>
    <row r="122" spans="4:7" s="260" customFormat="1">
      <c r="D122" s="261"/>
      <c r="E122" s="261"/>
      <c r="F122" s="261"/>
      <c r="G122" s="261"/>
    </row>
    <row r="123" spans="4:7" s="260" customFormat="1">
      <c r="D123" s="261"/>
      <c r="E123" s="261"/>
      <c r="F123" s="261"/>
      <c r="G123" s="261"/>
    </row>
    <row r="124" spans="4:7" s="260" customFormat="1">
      <c r="D124" s="261"/>
      <c r="E124" s="261"/>
      <c r="F124" s="261"/>
      <c r="G124" s="261"/>
    </row>
    <row r="125" spans="4:7" s="260" customFormat="1">
      <c r="D125" s="261"/>
      <c r="E125" s="261"/>
      <c r="F125" s="261"/>
      <c r="G125" s="261"/>
    </row>
    <row r="126" spans="4:7" s="260" customFormat="1">
      <c r="D126" s="261"/>
      <c r="E126" s="261"/>
      <c r="F126" s="261"/>
      <c r="G126" s="261"/>
    </row>
    <row r="127" spans="4:7" s="260" customFormat="1">
      <c r="D127" s="261"/>
      <c r="E127" s="261"/>
      <c r="F127" s="261"/>
      <c r="G127" s="261"/>
    </row>
    <row r="128" spans="4:7" s="260" customFormat="1">
      <c r="D128" s="261"/>
      <c r="E128" s="261"/>
      <c r="F128" s="261"/>
      <c r="G128" s="261"/>
    </row>
    <row r="129" spans="4:7" s="260" customFormat="1">
      <c r="D129" s="261"/>
      <c r="E129" s="261"/>
      <c r="F129" s="261"/>
      <c r="G129" s="261"/>
    </row>
    <row r="130" spans="4:7" s="260" customFormat="1">
      <c r="D130" s="261"/>
      <c r="E130" s="261"/>
      <c r="F130" s="261"/>
      <c r="G130" s="261"/>
    </row>
    <row r="131" spans="4:7" s="260" customFormat="1">
      <c r="D131" s="261"/>
      <c r="E131" s="261"/>
      <c r="F131" s="261"/>
      <c r="G131" s="261"/>
    </row>
    <row r="132" spans="4:7" s="260" customFormat="1">
      <c r="D132" s="261"/>
      <c r="E132" s="261"/>
      <c r="F132" s="261"/>
      <c r="G132" s="261"/>
    </row>
    <row r="133" spans="4:7" s="260" customFormat="1">
      <c r="D133" s="261"/>
      <c r="E133" s="261"/>
      <c r="F133" s="261"/>
      <c r="G133" s="261"/>
    </row>
    <row r="134" spans="4:7" s="260" customFormat="1">
      <c r="D134" s="261"/>
      <c r="E134" s="261"/>
      <c r="F134" s="261"/>
      <c r="G134" s="261"/>
    </row>
    <row r="135" spans="4:7" s="260" customFormat="1">
      <c r="D135" s="261"/>
      <c r="E135" s="261"/>
      <c r="F135" s="261"/>
      <c r="G135" s="261"/>
    </row>
    <row r="136" spans="4:7" s="260" customFormat="1">
      <c r="D136" s="261"/>
      <c r="E136" s="261"/>
      <c r="F136" s="261"/>
      <c r="G136" s="261"/>
    </row>
    <row r="137" spans="4:7" s="260" customFormat="1">
      <c r="D137" s="261"/>
      <c r="E137" s="261"/>
      <c r="F137" s="261"/>
      <c r="G137" s="261"/>
    </row>
    <row r="138" spans="4:7" s="260" customFormat="1">
      <c r="D138" s="261"/>
      <c r="E138" s="261"/>
      <c r="F138" s="261"/>
      <c r="G138" s="261"/>
    </row>
    <row r="139" spans="4:7" s="260" customFormat="1">
      <c r="D139" s="261"/>
      <c r="E139" s="261"/>
      <c r="F139" s="261"/>
      <c r="G139" s="261"/>
    </row>
    <row r="140" spans="4:7" s="260" customFormat="1">
      <c r="D140" s="261"/>
      <c r="E140" s="261"/>
      <c r="F140" s="261"/>
      <c r="G140" s="261"/>
    </row>
    <row r="141" spans="4:7" s="260" customFormat="1">
      <c r="D141" s="261"/>
      <c r="E141" s="261"/>
      <c r="F141" s="261"/>
      <c r="G141" s="261"/>
    </row>
    <row r="142" spans="4:7" s="260" customFormat="1">
      <c r="D142" s="261"/>
      <c r="E142" s="261"/>
      <c r="F142" s="261"/>
      <c r="G142" s="261"/>
    </row>
    <row r="143" spans="4:7" s="260" customFormat="1">
      <c r="D143" s="261"/>
      <c r="E143" s="261"/>
      <c r="F143" s="261"/>
      <c r="G143" s="261"/>
    </row>
    <row r="144" spans="4:7" s="260" customFormat="1">
      <c r="D144" s="261"/>
      <c r="E144" s="261"/>
      <c r="F144" s="261"/>
      <c r="G144" s="261"/>
    </row>
    <row r="145" spans="4:7" s="260" customFormat="1">
      <c r="D145" s="261"/>
      <c r="E145" s="261"/>
      <c r="F145" s="261"/>
      <c r="G145" s="261"/>
    </row>
    <row r="146" spans="4:7" s="260" customFormat="1">
      <c r="D146" s="261"/>
      <c r="E146" s="261"/>
      <c r="F146" s="261"/>
      <c r="G146" s="261"/>
    </row>
    <row r="147" spans="4:7" s="260" customFormat="1">
      <c r="D147" s="261"/>
      <c r="E147" s="261"/>
      <c r="F147" s="261"/>
      <c r="G147" s="261"/>
    </row>
    <row r="148" spans="4:7" s="260" customFormat="1">
      <c r="D148" s="261"/>
      <c r="E148" s="261"/>
      <c r="F148" s="261"/>
      <c r="G148" s="261"/>
    </row>
    <row r="149" spans="4:7" s="260" customFormat="1">
      <c r="D149" s="261"/>
      <c r="E149" s="261"/>
      <c r="F149" s="261"/>
      <c r="G149" s="261"/>
    </row>
    <row r="150" spans="4:7" s="260" customFormat="1">
      <c r="D150" s="261"/>
      <c r="E150" s="261"/>
      <c r="F150" s="261"/>
      <c r="G150" s="261"/>
    </row>
    <row r="151" spans="4:7" s="260" customFormat="1">
      <c r="D151" s="261"/>
      <c r="E151" s="261"/>
      <c r="F151" s="261"/>
      <c r="G151" s="261"/>
    </row>
    <row r="152" spans="4:7" s="260" customFormat="1">
      <c r="D152" s="261"/>
      <c r="E152" s="261"/>
      <c r="F152" s="261"/>
      <c r="G152" s="261"/>
    </row>
    <row r="153" spans="4:7" s="260" customFormat="1">
      <c r="D153" s="261"/>
      <c r="E153" s="261"/>
      <c r="F153" s="261"/>
      <c r="G153" s="261"/>
    </row>
    <row r="154" spans="4:7" s="260" customFormat="1">
      <c r="D154" s="261"/>
      <c r="E154" s="261"/>
      <c r="F154" s="261"/>
      <c r="G154" s="261"/>
    </row>
    <row r="155" spans="4:7" s="260" customFormat="1">
      <c r="D155" s="261"/>
      <c r="E155" s="261"/>
      <c r="F155" s="261"/>
      <c r="G155" s="261"/>
    </row>
    <row r="156" spans="4:7" s="260" customFormat="1">
      <c r="D156" s="261"/>
      <c r="E156" s="261"/>
      <c r="F156" s="261"/>
      <c r="G156" s="261"/>
    </row>
    <row r="157" spans="4:7" s="260" customFormat="1">
      <c r="D157" s="261"/>
      <c r="E157" s="261"/>
      <c r="F157" s="261"/>
      <c r="G157" s="261"/>
    </row>
    <row r="158" spans="4:7" s="260" customFormat="1">
      <c r="D158" s="261"/>
      <c r="E158" s="261"/>
      <c r="F158" s="261"/>
      <c r="G158" s="261"/>
    </row>
    <row r="159" spans="4:7" s="260" customFormat="1">
      <c r="D159" s="261"/>
      <c r="E159" s="261"/>
      <c r="F159" s="261"/>
      <c r="G159" s="261"/>
    </row>
    <row r="160" spans="4:7" s="260" customFormat="1">
      <c r="D160" s="261"/>
      <c r="E160" s="261"/>
      <c r="F160" s="261"/>
      <c r="G160" s="261"/>
    </row>
    <row r="161" spans="4:7" s="260" customFormat="1">
      <c r="D161" s="261"/>
      <c r="E161" s="261"/>
      <c r="F161" s="261"/>
      <c r="G161" s="261"/>
    </row>
    <row r="162" spans="4:7" s="260" customFormat="1">
      <c r="D162" s="261"/>
      <c r="E162" s="261"/>
      <c r="F162" s="261"/>
      <c r="G162" s="261"/>
    </row>
    <row r="163" spans="4:7" s="260" customFormat="1">
      <c r="D163" s="261"/>
      <c r="E163" s="261"/>
      <c r="F163" s="261"/>
      <c r="G163" s="261"/>
    </row>
    <row r="164" spans="4:7" s="260" customFormat="1">
      <c r="D164" s="261"/>
      <c r="E164" s="261"/>
      <c r="F164" s="261"/>
      <c r="G164" s="261"/>
    </row>
    <row r="165" spans="4:7" s="260" customFormat="1">
      <c r="D165" s="261"/>
      <c r="E165" s="261"/>
      <c r="F165" s="261"/>
      <c r="G165" s="261"/>
    </row>
    <row r="166" spans="4:7" s="260" customFormat="1">
      <c r="D166" s="261"/>
      <c r="E166" s="261"/>
      <c r="F166" s="261"/>
      <c r="G166" s="261"/>
    </row>
    <row r="167" spans="4:7" s="260" customFormat="1">
      <c r="D167" s="261"/>
      <c r="E167" s="261"/>
      <c r="F167" s="261"/>
      <c r="G167" s="261"/>
    </row>
    <row r="168" spans="4:7" s="260" customFormat="1">
      <c r="D168" s="261"/>
      <c r="E168" s="261"/>
      <c r="F168" s="261"/>
      <c r="G168" s="261"/>
    </row>
    <row r="169" spans="4:7" s="260" customFormat="1">
      <c r="D169" s="261"/>
      <c r="E169" s="261"/>
      <c r="F169" s="261"/>
      <c r="G169" s="261"/>
    </row>
    <row r="170" spans="4:7" s="260" customFormat="1">
      <c r="D170" s="261"/>
      <c r="E170" s="261"/>
      <c r="F170" s="261"/>
      <c r="G170" s="261"/>
    </row>
    <row r="171" spans="4:7" s="260" customFormat="1">
      <c r="D171" s="261"/>
      <c r="E171" s="261"/>
      <c r="F171" s="261"/>
      <c r="G171" s="261"/>
    </row>
    <row r="172" spans="4:7" s="260" customFormat="1">
      <c r="D172" s="261"/>
      <c r="E172" s="261"/>
      <c r="F172" s="261"/>
      <c r="G172" s="261"/>
    </row>
    <row r="173" spans="4:7" s="260" customFormat="1">
      <c r="D173" s="261"/>
      <c r="E173" s="261"/>
      <c r="F173" s="261"/>
      <c r="G173" s="261"/>
    </row>
    <row r="174" spans="4:7" s="260" customFormat="1">
      <c r="D174" s="261"/>
      <c r="E174" s="261"/>
      <c r="F174" s="261"/>
      <c r="G174" s="261"/>
    </row>
    <row r="175" spans="4:7" s="260" customFormat="1">
      <c r="D175" s="261"/>
      <c r="E175" s="261"/>
      <c r="F175" s="261"/>
      <c r="G175" s="261"/>
    </row>
    <row r="176" spans="4:7" s="260" customFormat="1">
      <c r="D176" s="261"/>
      <c r="E176" s="261"/>
      <c r="F176" s="261"/>
      <c r="G176" s="261"/>
    </row>
    <row r="177" spans="4:7" s="260" customFormat="1">
      <c r="D177" s="261"/>
      <c r="E177" s="261"/>
      <c r="F177" s="261"/>
      <c r="G177" s="261"/>
    </row>
    <row r="178" spans="4:7" s="260" customFormat="1">
      <c r="D178" s="261"/>
      <c r="E178" s="261"/>
      <c r="F178" s="261"/>
      <c r="G178" s="261"/>
    </row>
    <row r="179" spans="4:7" s="260" customFormat="1">
      <c r="D179" s="261"/>
      <c r="E179" s="261"/>
      <c r="F179" s="261"/>
      <c r="G179" s="261"/>
    </row>
    <row r="180" spans="4:7" s="260" customFormat="1">
      <c r="D180" s="261"/>
      <c r="E180" s="261"/>
      <c r="F180" s="261"/>
      <c r="G180" s="261"/>
    </row>
    <row r="181" spans="4:7" s="260" customFormat="1">
      <c r="D181" s="261"/>
      <c r="E181" s="261"/>
      <c r="F181" s="261"/>
      <c r="G181" s="261"/>
    </row>
    <row r="182" spans="4:7" s="260" customFormat="1">
      <c r="D182" s="261"/>
      <c r="E182" s="261"/>
      <c r="F182" s="261"/>
      <c r="G182" s="261"/>
    </row>
    <row r="183" spans="4:7" s="260" customFormat="1">
      <c r="D183" s="261"/>
      <c r="E183" s="261"/>
      <c r="F183" s="261"/>
      <c r="G183" s="261"/>
    </row>
    <row r="184" spans="4:7" s="260" customFormat="1">
      <c r="D184" s="261"/>
      <c r="E184" s="261"/>
      <c r="F184" s="261"/>
      <c r="G184" s="261"/>
    </row>
    <row r="185" spans="4:7" s="260" customFormat="1">
      <c r="D185" s="261"/>
      <c r="E185" s="261"/>
      <c r="F185" s="261"/>
      <c r="G185" s="261"/>
    </row>
    <row r="186" spans="4:7" s="260" customFormat="1">
      <c r="D186" s="261"/>
      <c r="E186" s="261"/>
      <c r="F186" s="261"/>
      <c r="G186" s="261"/>
    </row>
    <row r="187" spans="4:7" s="260" customFormat="1">
      <c r="D187" s="261"/>
      <c r="E187" s="261"/>
      <c r="F187" s="261"/>
      <c r="G187" s="261"/>
    </row>
    <row r="188" spans="4:7" s="260" customFormat="1">
      <c r="D188" s="261"/>
      <c r="E188" s="261"/>
      <c r="F188" s="261"/>
      <c r="G188" s="261"/>
    </row>
    <row r="189" spans="4:7" s="260" customFormat="1">
      <c r="D189" s="261"/>
      <c r="E189" s="261"/>
      <c r="F189" s="261"/>
      <c r="G189" s="261"/>
    </row>
    <row r="190" spans="4:7" s="260" customFormat="1">
      <c r="D190" s="261"/>
      <c r="E190" s="261"/>
      <c r="F190" s="261"/>
      <c r="G190" s="261"/>
    </row>
    <row r="191" spans="4:7" s="260" customFormat="1">
      <c r="D191" s="261"/>
      <c r="E191" s="261"/>
      <c r="F191" s="261"/>
      <c r="G191" s="261"/>
    </row>
    <row r="192" spans="4:7" s="260" customFormat="1">
      <c r="D192" s="261"/>
      <c r="E192" s="261"/>
      <c r="F192" s="261"/>
      <c r="G192" s="261"/>
    </row>
    <row r="193" spans="4:7" s="260" customFormat="1">
      <c r="D193" s="261"/>
      <c r="E193" s="261"/>
      <c r="F193" s="261"/>
      <c r="G193" s="261"/>
    </row>
    <row r="194" spans="4:7" s="260" customFormat="1">
      <c r="D194" s="261"/>
      <c r="E194" s="261"/>
      <c r="F194" s="261"/>
      <c r="G194" s="261"/>
    </row>
    <row r="195" spans="4:7" s="260" customFormat="1">
      <c r="D195" s="261"/>
      <c r="E195" s="261"/>
      <c r="F195" s="261"/>
      <c r="G195" s="261"/>
    </row>
    <row r="196" spans="4:7" s="260" customFormat="1">
      <c r="D196" s="261"/>
      <c r="E196" s="261"/>
      <c r="F196" s="261"/>
      <c r="G196" s="261"/>
    </row>
    <row r="197" spans="4:7" s="260" customFormat="1">
      <c r="D197" s="261"/>
      <c r="E197" s="261"/>
      <c r="F197" s="261"/>
      <c r="G197" s="261"/>
    </row>
    <row r="198" spans="4:7" s="260" customFormat="1">
      <c r="D198" s="261"/>
      <c r="E198" s="261"/>
      <c r="F198" s="261"/>
      <c r="G198" s="261"/>
    </row>
    <row r="199" spans="4:7" s="260" customFormat="1">
      <c r="D199" s="261"/>
      <c r="E199" s="261"/>
      <c r="F199" s="261"/>
      <c r="G199" s="261"/>
    </row>
    <row r="200" spans="4:7" s="260" customFormat="1">
      <c r="D200" s="261"/>
      <c r="E200" s="261"/>
      <c r="F200" s="261"/>
      <c r="G200" s="261"/>
    </row>
    <row r="201" spans="4:7" s="260" customFormat="1">
      <c r="D201" s="261"/>
      <c r="E201" s="261"/>
      <c r="F201" s="261"/>
      <c r="G201" s="261"/>
    </row>
    <row r="202" spans="4:7" s="260" customFormat="1">
      <c r="D202" s="261"/>
      <c r="E202" s="261"/>
      <c r="F202" s="261"/>
      <c r="G202" s="261"/>
    </row>
    <row r="203" spans="4:7" s="260" customFormat="1">
      <c r="D203" s="261"/>
      <c r="E203" s="261"/>
      <c r="F203" s="261"/>
      <c r="G203" s="261"/>
    </row>
    <row r="204" spans="4:7" s="260" customFormat="1">
      <c r="D204" s="261"/>
      <c r="E204" s="261"/>
      <c r="F204" s="261"/>
      <c r="G204" s="261"/>
    </row>
    <row r="205" spans="4:7" s="260" customFormat="1">
      <c r="D205" s="261"/>
      <c r="E205" s="261"/>
      <c r="F205" s="261"/>
      <c r="G205" s="261"/>
    </row>
    <row r="206" spans="4:7" s="260" customFormat="1">
      <c r="D206" s="261"/>
      <c r="E206" s="261"/>
      <c r="F206" s="261"/>
      <c r="G206" s="261"/>
    </row>
    <row r="207" spans="4:7" s="260" customFormat="1">
      <c r="D207" s="261"/>
      <c r="E207" s="261"/>
      <c r="F207" s="261"/>
      <c r="G207" s="261"/>
    </row>
    <row r="208" spans="4:7" s="260" customFormat="1">
      <c r="D208" s="261"/>
      <c r="E208" s="261"/>
      <c r="F208" s="261"/>
      <c r="G208" s="261"/>
    </row>
    <row r="209" spans="4:7" s="260" customFormat="1">
      <c r="D209" s="261"/>
      <c r="E209" s="261"/>
      <c r="F209" s="261"/>
      <c r="G209" s="261"/>
    </row>
    <row r="210" spans="4:7" s="260" customFormat="1">
      <c r="D210" s="261"/>
      <c r="E210" s="261"/>
      <c r="F210" s="261"/>
      <c r="G210" s="261"/>
    </row>
    <row r="211" spans="4:7" s="260" customFormat="1">
      <c r="D211" s="261"/>
      <c r="E211" s="261"/>
      <c r="F211" s="261"/>
      <c r="G211" s="261"/>
    </row>
    <row r="212" spans="4:7" s="260" customFormat="1">
      <c r="D212" s="261"/>
      <c r="E212" s="261"/>
      <c r="F212" s="261"/>
      <c r="G212" s="261"/>
    </row>
    <row r="213" spans="4:7" s="260" customFormat="1">
      <c r="D213" s="261"/>
      <c r="E213" s="261"/>
      <c r="F213" s="261"/>
      <c r="G213" s="261"/>
    </row>
    <row r="214" spans="4:7" s="260" customFormat="1">
      <c r="D214" s="261"/>
      <c r="E214" s="261"/>
      <c r="F214" s="261"/>
      <c r="G214" s="261"/>
    </row>
    <row r="215" spans="4:7" s="260" customFormat="1">
      <c r="D215" s="261"/>
      <c r="E215" s="261"/>
      <c r="F215" s="261"/>
      <c r="G215" s="261"/>
    </row>
    <row r="216" spans="4:7" s="260" customFormat="1">
      <c r="D216" s="261"/>
      <c r="E216" s="261"/>
      <c r="F216" s="261"/>
      <c r="G216" s="261"/>
    </row>
    <row r="217" spans="4:7" s="260" customFormat="1">
      <c r="D217" s="261"/>
      <c r="E217" s="261"/>
      <c r="F217" s="261"/>
      <c r="G217" s="261"/>
    </row>
    <row r="218" spans="4:7" s="260" customFormat="1">
      <c r="D218" s="261"/>
      <c r="E218" s="261"/>
      <c r="F218" s="261"/>
      <c r="G218" s="261"/>
    </row>
    <row r="219" spans="4:7" s="260" customFormat="1">
      <c r="D219" s="261"/>
      <c r="E219" s="261"/>
      <c r="F219" s="261"/>
      <c r="G219" s="261"/>
    </row>
    <row r="220" spans="4:7" s="260" customFormat="1">
      <c r="D220" s="261"/>
      <c r="E220" s="261"/>
      <c r="F220" s="261"/>
      <c r="G220" s="261"/>
    </row>
    <row r="221" spans="4:7" s="260" customFormat="1">
      <c r="D221" s="261"/>
      <c r="E221" s="261"/>
      <c r="F221" s="261"/>
      <c r="G221" s="261"/>
    </row>
    <row r="222" spans="4:7" s="260" customFormat="1">
      <c r="D222" s="261"/>
      <c r="E222" s="261"/>
      <c r="F222" s="261"/>
      <c r="G222" s="261"/>
    </row>
    <row r="223" spans="4:7" s="260" customFormat="1">
      <c r="D223" s="261"/>
      <c r="E223" s="261"/>
      <c r="F223" s="261"/>
      <c r="G223" s="261"/>
    </row>
    <row r="224" spans="4:7" s="260" customFormat="1">
      <c r="D224" s="261"/>
      <c r="E224" s="261"/>
      <c r="F224" s="261"/>
      <c r="G224" s="261"/>
    </row>
    <row r="225" spans="4:7" s="260" customFormat="1">
      <c r="D225" s="261"/>
      <c r="E225" s="261"/>
      <c r="F225" s="261"/>
      <c r="G225" s="261"/>
    </row>
    <row r="226" spans="4:7" s="260" customFormat="1">
      <c r="D226" s="261"/>
      <c r="E226" s="261"/>
      <c r="F226" s="261"/>
      <c r="G226" s="261"/>
    </row>
    <row r="227" spans="4:7" s="260" customFormat="1">
      <c r="D227" s="261"/>
      <c r="E227" s="261"/>
      <c r="F227" s="261"/>
      <c r="G227" s="261"/>
    </row>
    <row r="228" spans="4:7" s="260" customFormat="1">
      <c r="D228" s="261"/>
      <c r="E228" s="261"/>
      <c r="F228" s="261"/>
      <c r="G228" s="261"/>
    </row>
    <row r="229" spans="4:7" s="260" customFormat="1">
      <c r="D229" s="261"/>
      <c r="E229" s="261"/>
      <c r="F229" s="261"/>
      <c r="G229" s="261"/>
    </row>
    <row r="230" spans="4:7" s="260" customFormat="1">
      <c r="D230" s="261"/>
      <c r="E230" s="261"/>
      <c r="F230" s="261"/>
      <c r="G230" s="261"/>
    </row>
    <row r="231" spans="4:7" s="260" customFormat="1">
      <c r="D231" s="261"/>
      <c r="E231" s="261"/>
      <c r="F231" s="261"/>
      <c r="G231" s="261"/>
    </row>
    <row r="232" spans="4:7" s="260" customFormat="1">
      <c r="D232" s="261"/>
      <c r="E232" s="261"/>
      <c r="F232" s="261"/>
      <c r="G232" s="261"/>
    </row>
    <row r="233" spans="4:7" s="260" customFormat="1">
      <c r="D233" s="261"/>
      <c r="E233" s="261"/>
      <c r="F233" s="261"/>
      <c r="G233" s="261"/>
    </row>
    <row r="234" spans="4:7" s="260" customFormat="1">
      <c r="D234" s="261"/>
      <c r="E234" s="261"/>
      <c r="F234" s="261"/>
      <c r="G234" s="261"/>
    </row>
    <row r="235" spans="4:7" s="260" customFormat="1">
      <c r="D235" s="261"/>
      <c r="E235" s="261"/>
      <c r="F235" s="261"/>
      <c r="G235" s="261"/>
    </row>
    <row r="236" spans="4:7" s="260" customFormat="1">
      <c r="D236" s="261"/>
      <c r="E236" s="261"/>
      <c r="F236" s="261"/>
      <c r="G236" s="261"/>
    </row>
    <row r="237" spans="4:7" s="260" customFormat="1">
      <c r="D237" s="261"/>
      <c r="E237" s="261"/>
      <c r="F237" s="261"/>
      <c r="G237" s="261"/>
    </row>
    <row r="238" spans="4:7" s="260" customFormat="1">
      <c r="D238" s="261"/>
      <c r="E238" s="261"/>
      <c r="F238" s="261"/>
      <c r="G238" s="261"/>
    </row>
    <row r="239" spans="4:7" s="260" customFormat="1">
      <c r="D239" s="261"/>
      <c r="E239" s="261"/>
      <c r="F239" s="261"/>
      <c r="G239" s="261"/>
    </row>
    <row r="240" spans="4:7" s="260" customFormat="1">
      <c r="D240" s="261"/>
      <c r="E240" s="261"/>
      <c r="F240" s="261"/>
      <c r="G240" s="261"/>
    </row>
  </sheetData>
  <sheetProtection algorithmName="SHA-512" hashValue="xChcj6J3mkDSs/RkQs6GiS1ckzBTBgJMJcQso55LpFmV3uc8J3pKF6C3KHiyyVelVibyp/0smw1LMAJnEtBC6A==" saltValue="fG/UAcRdlSCCgGYAaHvNlg==" spinCount="100000" sheet="1" objects="1" scenarios="1"/>
  <mergeCells count="2">
    <mergeCell ref="B2:B3"/>
    <mergeCell ref="C2:C3"/>
  </mergeCells>
  <printOptions horizontalCentered="1"/>
  <pageMargins left="0.27559055118110237" right="0.11811023622047245" top="0.6692913385826772" bottom="0.51181102362204722" header="0.39370078740157483" footer="0.51181102362204722"/>
  <pageSetup paperSize="9" scale="90" orientation="portrait" horizontalDpi="4294967293" verticalDpi="0" r:id="rId1"/>
  <headerFooter alignWithMargins="0">
    <oddHeader>&amp;L&amp;"Arial,Fett"&amp;A&amp;C&amp;D&amp;R&amp;"Arial,Fett"UNIVERSITÄTSKLINIKUM AACHEN&amp;"Arial,Standard"
Geschäftsbereich Betriebe</oddHead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BA254"/>
  <sheetViews>
    <sheetView zoomScale="90" zoomScaleNormal="90" workbookViewId="0">
      <selection activeCell="F8" sqref="F8:F35"/>
    </sheetView>
  </sheetViews>
  <sheetFormatPr baseColWidth="10" defaultColWidth="11.44140625" defaultRowHeight="14.4"/>
  <cols>
    <col min="1" max="1" width="3.109375" style="263" customWidth="1"/>
    <col min="2" max="2" width="8" style="59" customWidth="1"/>
    <col min="3" max="3" width="74" style="58" customWidth="1"/>
    <col min="4" max="5" width="15" style="58" customWidth="1"/>
    <col min="6" max="6" width="16.109375" style="58" customWidth="1"/>
    <col min="7" max="9" width="10.5546875" style="58" hidden="1" customWidth="1"/>
    <col min="10" max="21" width="10.5546875" style="263" hidden="1" customWidth="1"/>
    <col min="22" max="53" width="11.44140625" style="263"/>
    <col min="54" max="16384" width="11.44140625" style="58"/>
  </cols>
  <sheetData>
    <row r="1" spans="2:21" s="263" customFormat="1">
      <c r="B1" s="262"/>
    </row>
    <row r="2" spans="2:21" s="263" customFormat="1" ht="15" customHeight="1">
      <c r="B2" s="262"/>
      <c r="Q2" s="274"/>
    </row>
    <row r="3" spans="2:21" ht="29.25" customHeight="1">
      <c r="B3" s="416" t="s">
        <v>261</v>
      </c>
      <c r="C3" s="417"/>
      <c r="D3" s="420" t="s">
        <v>195</v>
      </c>
      <c r="E3" s="421"/>
      <c r="F3" s="422" t="s">
        <v>143</v>
      </c>
      <c r="G3" s="424" t="s">
        <v>144</v>
      </c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6"/>
    </row>
    <row r="4" spans="2:21" ht="29.25" customHeight="1">
      <c r="B4" s="418"/>
      <c r="C4" s="419"/>
      <c r="D4" s="63" t="s">
        <v>141</v>
      </c>
      <c r="E4" s="64" t="s">
        <v>142</v>
      </c>
      <c r="F4" s="423"/>
      <c r="G4" s="61">
        <v>1</v>
      </c>
      <c r="H4" s="62">
        <v>2</v>
      </c>
      <c r="I4" s="62">
        <v>3</v>
      </c>
      <c r="J4" s="275">
        <v>3.5</v>
      </c>
      <c r="K4" s="275">
        <v>4</v>
      </c>
      <c r="L4" s="275">
        <v>5</v>
      </c>
      <c r="M4" s="275">
        <v>6</v>
      </c>
      <c r="N4" s="275">
        <v>6.5</v>
      </c>
      <c r="O4" s="275">
        <v>7</v>
      </c>
      <c r="P4" s="275">
        <v>10</v>
      </c>
      <c r="Q4" s="275">
        <v>12</v>
      </c>
      <c r="R4" s="275" t="s">
        <v>124</v>
      </c>
      <c r="S4" s="275" t="s">
        <v>123</v>
      </c>
      <c r="T4" s="275" t="s">
        <v>122</v>
      </c>
      <c r="U4" s="275" t="s">
        <v>121</v>
      </c>
    </row>
    <row r="5" spans="2:21" ht="43.5" hidden="1" customHeight="1">
      <c r="B5" s="326" t="s">
        <v>15</v>
      </c>
      <c r="C5" s="328" t="s">
        <v>211</v>
      </c>
      <c r="D5" s="65">
        <v>180</v>
      </c>
      <c r="E5" s="66">
        <v>200</v>
      </c>
      <c r="F5" s="287">
        <v>200</v>
      </c>
      <c r="G5" s="60"/>
      <c r="H5" s="60"/>
      <c r="I5" s="60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</row>
    <row r="6" spans="2:21" ht="43.5" hidden="1" customHeight="1">
      <c r="B6" s="326" t="s">
        <v>213</v>
      </c>
      <c r="C6" s="328" t="s">
        <v>212</v>
      </c>
      <c r="D6" s="65">
        <v>150</v>
      </c>
      <c r="E6" s="66">
        <v>180</v>
      </c>
      <c r="F6" s="287">
        <v>180</v>
      </c>
      <c r="G6" s="60"/>
      <c r="H6" s="60"/>
      <c r="I6" s="60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</row>
    <row r="7" spans="2:21" ht="43.5" hidden="1" customHeight="1">
      <c r="B7" s="326" t="s">
        <v>214</v>
      </c>
      <c r="C7" s="328" t="s">
        <v>215</v>
      </c>
      <c r="D7" s="65">
        <v>150</v>
      </c>
      <c r="E7" s="66">
        <v>180</v>
      </c>
      <c r="F7" s="287">
        <v>180</v>
      </c>
      <c r="G7" s="60"/>
      <c r="H7" s="60"/>
      <c r="I7" s="60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</row>
    <row r="8" spans="2:21" ht="43.5" customHeight="1">
      <c r="B8" s="326" t="s">
        <v>176</v>
      </c>
      <c r="C8" s="328" t="s">
        <v>216</v>
      </c>
      <c r="D8" s="65">
        <v>200</v>
      </c>
      <c r="E8" s="66">
        <v>230</v>
      </c>
      <c r="F8" s="287"/>
      <c r="G8" s="60"/>
      <c r="H8" s="60"/>
      <c r="I8" s="60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</row>
    <row r="9" spans="2:21" ht="43.5" customHeight="1">
      <c r="B9" s="326" t="s">
        <v>218</v>
      </c>
      <c r="C9" s="328" t="s">
        <v>217</v>
      </c>
      <c r="D9" s="65">
        <v>180</v>
      </c>
      <c r="E9" s="66">
        <v>210</v>
      </c>
      <c r="F9" s="287"/>
      <c r="G9" s="60"/>
      <c r="H9" s="60"/>
      <c r="I9" s="60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</row>
    <row r="10" spans="2:21" ht="43.5" customHeight="1">
      <c r="B10" s="326" t="s">
        <v>219</v>
      </c>
      <c r="C10" s="328" t="s">
        <v>220</v>
      </c>
      <c r="D10" s="65">
        <v>120</v>
      </c>
      <c r="E10" s="66">
        <v>160</v>
      </c>
      <c r="F10" s="287"/>
      <c r="G10" s="60"/>
      <c r="H10" s="60"/>
      <c r="I10" s="60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</row>
    <row r="11" spans="2:21" ht="43.5" hidden="1" customHeight="1">
      <c r="B11" s="326" t="s">
        <v>0</v>
      </c>
      <c r="C11" s="328" t="s">
        <v>120</v>
      </c>
      <c r="D11" s="65">
        <v>25</v>
      </c>
      <c r="E11" s="66">
        <v>60</v>
      </c>
      <c r="F11" s="287"/>
      <c r="G11" s="60"/>
      <c r="H11" s="60"/>
      <c r="I11" s="60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</row>
    <row r="12" spans="2:21" ht="42" hidden="1" customHeight="1">
      <c r="B12" s="326" t="s">
        <v>221</v>
      </c>
      <c r="C12" s="328" t="s">
        <v>222</v>
      </c>
      <c r="D12" s="65">
        <v>160</v>
      </c>
      <c r="E12" s="66">
        <v>180</v>
      </c>
      <c r="F12" s="287"/>
      <c r="G12" s="60"/>
      <c r="H12" s="60"/>
      <c r="I12" s="60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</row>
    <row r="13" spans="2:21" ht="42" hidden="1" customHeight="1">
      <c r="B13" s="326" t="s">
        <v>223</v>
      </c>
      <c r="C13" s="328" t="s">
        <v>224</v>
      </c>
      <c r="D13" s="65">
        <v>150</v>
      </c>
      <c r="E13" s="66">
        <v>180</v>
      </c>
      <c r="F13" s="287"/>
      <c r="G13" s="60"/>
      <c r="H13" s="60"/>
      <c r="I13" s="60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</row>
    <row r="14" spans="2:21" ht="42" hidden="1" customHeight="1">
      <c r="B14" s="326" t="s">
        <v>225</v>
      </c>
      <c r="C14" s="328" t="s">
        <v>226</v>
      </c>
      <c r="D14" s="65">
        <v>150</v>
      </c>
      <c r="E14" s="66">
        <v>170</v>
      </c>
      <c r="F14" s="287"/>
      <c r="G14" s="60"/>
      <c r="H14" s="60"/>
      <c r="I14" s="60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</row>
    <row r="15" spans="2:21" ht="42" hidden="1" customHeight="1">
      <c r="B15" s="326" t="s">
        <v>227</v>
      </c>
      <c r="C15" s="328" t="s">
        <v>228</v>
      </c>
      <c r="D15" s="65">
        <v>150</v>
      </c>
      <c r="E15" s="66">
        <v>180</v>
      </c>
      <c r="F15" s="287"/>
      <c r="G15" s="60"/>
      <c r="H15" s="60"/>
      <c r="I15" s="60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</row>
    <row r="16" spans="2:21" ht="42" hidden="1" customHeight="1">
      <c r="B16" s="326" t="s">
        <v>229</v>
      </c>
      <c r="C16" s="328" t="s">
        <v>230</v>
      </c>
      <c r="D16" s="65">
        <v>150</v>
      </c>
      <c r="E16" s="66">
        <v>180</v>
      </c>
      <c r="F16" s="287"/>
      <c r="G16" s="60"/>
      <c r="H16" s="60"/>
      <c r="I16" s="60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</row>
    <row r="17" spans="2:21" ht="42" hidden="1" customHeight="1">
      <c r="B17" s="326" t="s">
        <v>231</v>
      </c>
      <c r="C17" s="328" t="s">
        <v>232</v>
      </c>
      <c r="D17" s="65">
        <v>160</v>
      </c>
      <c r="E17" s="66">
        <v>190</v>
      </c>
      <c r="F17" s="287"/>
      <c r="G17" s="60"/>
      <c r="H17" s="60"/>
      <c r="I17" s="60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</row>
    <row r="18" spans="2:21" ht="42" hidden="1" customHeight="1">
      <c r="B18" s="326" t="s">
        <v>233</v>
      </c>
      <c r="C18" s="328" t="s">
        <v>234</v>
      </c>
      <c r="D18" s="65">
        <v>160</v>
      </c>
      <c r="E18" s="66">
        <v>180</v>
      </c>
      <c r="F18" s="287"/>
      <c r="G18" s="60"/>
      <c r="H18" s="60"/>
      <c r="I18" s="60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</row>
    <row r="19" spans="2:21" ht="43.5" customHeight="1">
      <c r="B19" s="326" t="s">
        <v>1</v>
      </c>
      <c r="C19" s="328" t="s">
        <v>235</v>
      </c>
      <c r="D19" s="65">
        <v>50</v>
      </c>
      <c r="E19" s="66">
        <v>70</v>
      </c>
      <c r="F19" s="287"/>
      <c r="G19" s="60"/>
      <c r="H19" s="60"/>
      <c r="I19" s="60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</row>
    <row r="20" spans="2:21" ht="43.5" hidden="1" customHeight="1">
      <c r="B20" s="326" t="s">
        <v>237</v>
      </c>
      <c r="C20" s="328" t="s">
        <v>236</v>
      </c>
      <c r="D20" s="65">
        <v>350</v>
      </c>
      <c r="E20" s="66">
        <v>400</v>
      </c>
      <c r="F20" s="287"/>
      <c r="G20" s="60"/>
      <c r="H20" s="60"/>
      <c r="I20" s="60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</row>
    <row r="21" spans="2:21" ht="43.5" hidden="1" customHeight="1">
      <c r="B21" s="326" t="s">
        <v>262</v>
      </c>
      <c r="C21" s="328" t="s">
        <v>263</v>
      </c>
      <c r="D21" s="65">
        <v>550</v>
      </c>
      <c r="E21" s="66">
        <v>600</v>
      </c>
      <c r="F21" s="287"/>
      <c r="G21" s="60"/>
      <c r="H21" s="60"/>
      <c r="I21" s="60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</row>
    <row r="22" spans="2:21" ht="43.5" customHeight="1">
      <c r="B22" s="326" t="s">
        <v>238</v>
      </c>
      <c r="C22" s="328" t="s">
        <v>239</v>
      </c>
      <c r="D22" s="65">
        <v>350</v>
      </c>
      <c r="E22" s="66">
        <v>400</v>
      </c>
      <c r="F22" s="287"/>
      <c r="G22" s="60"/>
      <c r="H22" s="60"/>
      <c r="I22" s="60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</row>
    <row r="23" spans="2:21" ht="43.5" hidden="1" customHeight="1">
      <c r="B23" s="326" t="s">
        <v>264</v>
      </c>
      <c r="C23" s="328" t="s">
        <v>265</v>
      </c>
      <c r="D23" s="65">
        <v>700</v>
      </c>
      <c r="E23" s="66">
        <v>800</v>
      </c>
      <c r="F23" s="287"/>
      <c r="G23" s="60"/>
      <c r="H23" s="60"/>
      <c r="I23" s="60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</row>
    <row r="24" spans="2:21" ht="43.5" customHeight="1">
      <c r="B24" s="326" t="s">
        <v>240</v>
      </c>
      <c r="C24" s="328" t="s">
        <v>241</v>
      </c>
      <c r="D24" s="65">
        <v>190</v>
      </c>
      <c r="E24" s="66">
        <v>220</v>
      </c>
      <c r="F24" s="287"/>
      <c r="G24" s="60"/>
      <c r="H24" s="60"/>
      <c r="I24" s="60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</row>
    <row r="25" spans="2:21" ht="43.5" customHeight="1">
      <c r="B25" s="326" t="s">
        <v>242</v>
      </c>
      <c r="C25" s="328" t="s">
        <v>243</v>
      </c>
      <c r="D25" s="65">
        <v>180</v>
      </c>
      <c r="E25" s="66">
        <v>200</v>
      </c>
      <c r="F25" s="287"/>
      <c r="G25" s="60"/>
      <c r="H25" s="60"/>
      <c r="I25" s="60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</row>
    <row r="26" spans="2:21" ht="43.5" customHeight="1">
      <c r="B26" s="326" t="s">
        <v>2</v>
      </c>
      <c r="C26" s="328" t="s">
        <v>244</v>
      </c>
      <c r="D26" s="65">
        <v>160</v>
      </c>
      <c r="E26" s="66">
        <v>180</v>
      </c>
      <c r="F26" s="287"/>
      <c r="G26" s="60"/>
      <c r="H26" s="60"/>
      <c r="I26" s="60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</row>
    <row r="27" spans="2:21" ht="43.5" customHeight="1">
      <c r="B27" s="326" t="s">
        <v>245</v>
      </c>
      <c r="C27" s="328" t="s">
        <v>246</v>
      </c>
      <c r="D27" s="65">
        <v>160</v>
      </c>
      <c r="E27" s="66">
        <v>180</v>
      </c>
      <c r="F27" s="287"/>
      <c r="G27" s="60"/>
      <c r="H27" s="60"/>
      <c r="I27" s="60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</row>
    <row r="28" spans="2:21" ht="43.5" customHeight="1">
      <c r="B28" s="326" t="s">
        <v>247</v>
      </c>
      <c r="C28" s="328" t="s">
        <v>248</v>
      </c>
      <c r="D28" s="65">
        <v>180</v>
      </c>
      <c r="E28" s="66">
        <v>210</v>
      </c>
      <c r="F28" s="287"/>
      <c r="G28" s="60"/>
      <c r="H28" s="60"/>
      <c r="I28" s="60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</row>
    <row r="29" spans="2:21" ht="43.5" customHeight="1">
      <c r="B29" s="326" t="s">
        <v>249</v>
      </c>
      <c r="C29" s="328" t="s">
        <v>250</v>
      </c>
      <c r="D29" s="65">
        <v>180</v>
      </c>
      <c r="E29" s="66">
        <v>210</v>
      </c>
      <c r="F29" s="287"/>
      <c r="G29" s="60"/>
      <c r="H29" s="60"/>
      <c r="I29" s="60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</row>
    <row r="30" spans="2:21" ht="43.5" customHeight="1">
      <c r="B30" s="326" t="s">
        <v>251</v>
      </c>
      <c r="C30" s="328" t="s">
        <v>252</v>
      </c>
      <c r="D30" s="65">
        <v>250</v>
      </c>
      <c r="E30" s="66">
        <v>300</v>
      </c>
      <c r="F30" s="287"/>
      <c r="G30" s="219"/>
      <c r="H30" s="219"/>
      <c r="I30" s="219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</row>
    <row r="31" spans="2:21" ht="43.5" customHeight="1">
      <c r="B31" s="326" t="s">
        <v>253</v>
      </c>
      <c r="C31" s="328" t="s">
        <v>254</v>
      </c>
      <c r="D31" s="65">
        <v>220</v>
      </c>
      <c r="E31" s="66">
        <v>250</v>
      </c>
      <c r="F31" s="287"/>
      <c r="G31" s="219"/>
      <c r="H31" s="219"/>
      <c r="I31" s="219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</row>
    <row r="32" spans="2:21" ht="43.5" customHeight="1">
      <c r="B32" s="326" t="s">
        <v>255</v>
      </c>
      <c r="C32" s="328" t="s">
        <v>256</v>
      </c>
      <c r="D32" s="65">
        <v>160</v>
      </c>
      <c r="E32" s="66">
        <v>180</v>
      </c>
      <c r="F32" s="287"/>
      <c r="G32" s="219"/>
      <c r="H32" s="219"/>
      <c r="I32" s="219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</row>
    <row r="33" spans="2:21" ht="43.5" customHeight="1">
      <c r="B33" s="326" t="s">
        <v>121</v>
      </c>
      <c r="C33" s="328" t="s">
        <v>257</v>
      </c>
      <c r="D33" s="65">
        <v>240</v>
      </c>
      <c r="E33" s="66">
        <v>260</v>
      </c>
      <c r="F33" s="287"/>
      <c r="G33" s="219"/>
      <c r="H33" s="219"/>
      <c r="I33" s="219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</row>
    <row r="34" spans="2:21" ht="43.5" customHeight="1">
      <c r="B34" s="326" t="s">
        <v>122</v>
      </c>
      <c r="C34" s="328" t="s">
        <v>258</v>
      </c>
      <c r="D34" s="65">
        <v>250</v>
      </c>
      <c r="E34" s="66">
        <v>300</v>
      </c>
      <c r="F34" s="287"/>
      <c r="G34" s="219"/>
      <c r="H34" s="219"/>
      <c r="I34" s="219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</row>
    <row r="35" spans="2:21" ht="43.5" customHeight="1">
      <c r="B35" s="327" t="s">
        <v>259</v>
      </c>
      <c r="C35" s="329" t="s">
        <v>260</v>
      </c>
      <c r="D35" s="67">
        <v>350</v>
      </c>
      <c r="E35" s="68">
        <v>400</v>
      </c>
      <c r="F35" s="288"/>
      <c r="G35" s="219"/>
      <c r="H35" s="219"/>
      <c r="I35" s="219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</row>
    <row r="36" spans="2:21" s="263" customFormat="1">
      <c r="B36" s="262"/>
    </row>
    <row r="37" spans="2:21" s="263" customFormat="1">
      <c r="B37" s="262"/>
      <c r="C37" s="352">
        <f>Deckblatt!$B$20</f>
        <v>0</v>
      </c>
      <c r="D37" s="354"/>
      <c r="E37" s="324"/>
    </row>
    <row r="38" spans="2:21" s="263" customFormat="1" ht="15" thickBot="1">
      <c r="B38" s="262"/>
      <c r="C38" s="372"/>
      <c r="D38" s="354"/>
      <c r="E38" s="324"/>
    </row>
    <row r="39" spans="2:21" s="263" customFormat="1">
      <c r="B39" s="262"/>
      <c r="C39" s="233" t="s">
        <v>188</v>
      </c>
      <c r="D39" s="233"/>
      <c r="E39" s="324"/>
    </row>
    <row r="40" spans="2:21" s="263" customFormat="1">
      <c r="B40" s="262"/>
      <c r="C40" s="234"/>
      <c r="D40" s="234"/>
      <c r="E40" s="324"/>
    </row>
    <row r="41" spans="2:21" s="263" customFormat="1">
      <c r="B41" s="262"/>
    </row>
    <row r="42" spans="2:21" s="263" customFormat="1">
      <c r="B42" s="262"/>
    </row>
    <row r="43" spans="2:21" s="263" customFormat="1">
      <c r="B43" s="262"/>
    </row>
    <row r="44" spans="2:21" s="263" customFormat="1">
      <c r="B44" s="262"/>
    </row>
    <row r="45" spans="2:21" s="263" customFormat="1">
      <c r="B45" s="262"/>
    </row>
    <row r="46" spans="2:21" s="263" customFormat="1">
      <c r="B46" s="262"/>
    </row>
    <row r="47" spans="2:21" s="263" customFormat="1">
      <c r="B47" s="262"/>
    </row>
    <row r="48" spans="2:21" s="263" customFormat="1">
      <c r="B48" s="262"/>
    </row>
    <row r="49" spans="2:2" s="263" customFormat="1">
      <c r="B49" s="262"/>
    </row>
    <row r="50" spans="2:2" s="263" customFormat="1">
      <c r="B50" s="262"/>
    </row>
    <row r="51" spans="2:2" s="263" customFormat="1">
      <c r="B51" s="262"/>
    </row>
    <row r="52" spans="2:2" s="263" customFormat="1">
      <c r="B52" s="262"/>
    </row>
    <row r="53" spans="2:2" s="263" customFormat="1">
      <c r="B53" s="262"/>
    </row>
    <row r="54" spans="2:2" s="263" customFormat="1">
      <c r="B54" s="262"/>
    </row>
    <row r="55" spans="2:2" s="263" customFormat="1">
      <c r="B55" s="262"/>
    </row>
    <row r="56" spans="2:2" s="263" customFormat="1">
      <c r="B56" s="262"/>
    </row>
    <row r="57" spans="2:2" s="263" customFormat="1">
      <c r="B57" s="262"/>
    </row>
    <row r="58" spans="2:2" s="263" customFormat="1">
      <c r="B58" s="262"/>
    </row>
    <row r="59" spans="2:2" s="263" customFormat="1">
      <c r="B59" s="262"/>
    </row>
    <row r="60" spans="2:2" s="263" customFormat="1">
      <c r="B60" s="262"/>
    </row>
    <row r="61" spans="2:2" s="263" customFormat="1">
      <c r="B61" s="262"/>
    </row>
    <row r="62" spans="2:2" s="263" customFormat="1">
      <c r="B62" s="262"/>
    </row>
    <row r="63" spans="2:2" s="263" customFormat="1">
      <c r="B63" s="262"/>
    </row>
    <row r="64" spans="2:2" s="263" customFormat="1">
      <c r="B64" s="262"/>
    </row>
    <row r="65" spans="2:2" s="263" customFormat="1">
      <c r="B65" s="262"/>
    </row>
    <row r="66" spans="2:2" s="263" customFormat="1">
      <c r="B66" s="262"/>
    </row>
    <row r="67" spans="2:2" s="263" customFormat="1">
      <c r="B67" s="262"/>
    </row>
    <row r="68" spans="2:2" s="263" customFormat="1">
      <c r="B68" s="262"/>
    </row>
    <row r="69" spans="2:2" s="263" customFormat="1">
      <c r="B69" s="262"/>
    </row>
    <row r="70" spans="2:2" s="263" customFormat="1">
      <c r="B70" s="262"/>
    </row>
    <row r="71" spans="2:2" s="263" customFormat="1">
      <c r="B71" s="262"/>
    </row>
    <row r="72" spans="2:2" s="263" customFormat="1">
      <c r="B72" s="262"/>
    </row>
    <row r="73" spans="2:2" s="263" customFormat="1">
      <c r="B73" s="262"/>
    </row>
    <row r="74" spans="2:2" s="263" customFormat="1">
      <c r="B74" s="262"/>
    </row>
    <row r="75" spans="2:2" s="263" customFormat="1">
      <c r="B75" s="262"/>
    </row>
    <row r="76" spans="2:2" s="263" customFormat="1">
      <c r="B76" s="262"/>
    </row>
    <row r="77" spans="2:2" s="263" customFormat="1">
      <c r="B77" s="262"/>
    </row>
    <row r="78" spans="2:2" s="263" customFormat="1">
      <c r="B78" s="262"/>
    </row>
    <row r="79" spans="2:2" s="263" customFormat="1">
      <c r="B79" s="262"/>
    </row>
    <row r="80" spans="2:2" s="263" customFormat="1">
      <c r="B80" s="262"/>
    </row>
    <row r="81" spans="2:2" s="263" customFormat="1">
      <c r="B81" s="262"/>
    </row>
    <row r="82" spans="2:2" s="263" customFormat="1">
      <c r="B82" s="262"/>
    </row>
    <row r="83" spans="2:2" s="263" customFormat="1">
      <c r="B83" s="262"/>
    </row>
    <row r="84" spans="2:2" s="263" customFormat="1">
      <c r="B84" s="262"/>
    </row>
    <row r="85" spans="2:2" s="263" customFormat="1">
      <c r="B85" s="262"/>
    </row>
    <row r="86" spans="2:2" s="263" customFormat="1">
      <c r="B86" s="262"/>
    </row>
    <row r="87" spans="2:2" s="263" customFormat="1">
      <c r="B87" s="262"/>
    </row>
    <row r="88" spans="2:2" s="263" customFormat="1">
      <c r="B88" s="262"/>
    </row>
    <row r="89" spans="2:2" s="263" customFormat="1">
      <c r="B89" s="262"/>
    </row>
    <row r="90" spans="2:2" s="263" customFormat="1">
      <c r="B90" s="262"/>
    </row>
    <row r="91" spans="2:2" s="263" customFormat="1">
      <c r="B91" s="262"/>
    </row>
    <row r="92" spans="2:2" s="263" customFormat="1">
      <c r="B92" s="262"/>
    </row>
    <row r="93" spans="2:2" s="263" customFormat="1">
      <c r="B93" s="262"/>
    </row>
    <row r="94" spans="2:2" s="263" customFormat="1">
      <c r="B94" s="262"/>
    </row>
    <row r="95" spans="2:2" s="263" customFormat="1">
      <c r="B95" s="262"/>
    </row>
    <row r="96" spans="2:2" s="263" customFormat="1">
      <c r="B96" s="262"/>
    </row>
    <row r="97" spans="2:2" s="263" customFormat="1">
      <c r="B97" s="262"/>
    </row>
    <row r="98" spans="2:2" s="263" customFormat="1">
      <c r="B98" s="262"/>
    </row>
    <row r="99" spans="2:2" s="263" customFormat="1">
      <c r="B99" s="262"/>
    </row>
    <row r="100" spans="2:2" s="263" customFormat="1">
      <c r="B100" s="262"/>
    </row>
    <row r="101" spans="2:2" s="263" customFormat="1">
      <c r="B101" s="262"/>
    </row>
    <row r="102" spans="2:2" s="263" customFormat="1">
      <c r="B102" s="262"/>
    </row>
    <row r="103" spans="2:2" s="263" customFormat="1">
      <c r="B103" s="262"/>
    </row>
    <row r="104" spans="2:2" s="263" customFormat="1">
      <c r="B104" s="262"/>
    </row>
    <row r="105" spans="2:2" s="263" customFormat="1">
      <c r="B105" s="262"/>
    </row>
    <row r="106" spans="2:2" s="263" customFormat="1">
      <c r="B106" s="262"/>
    </row>
    <row r="107" spans="2:2" s="263" customFormat="1">
      <c r="B107" s="262"/>
    </row>
    <row r="108" spans="2:2" s="263" customFormat="1">
      <c r="B108" s="262"/>
    </row>
    <row r="109" spans="2:2" s="263" customFormat="1">
      <c r="B109" s="262"/>
    </row>
    <row r="110" spans="2:2" s="263" customFormat="1">
      <c r="B110" s="262"/>
    </row>
    <row r="111" spans="2:2" s="263" customFormat="1">
      <c r="B111" s="262"/>
    </row>
    <row r="112" spans="2:2" s="263" customFormat="1">
      <c r="B112" s="262"/>
    </row>
    <row r="113" spans="2:2" s="263" customFormat="1">
      <c r="B113" s="262"/>
    </row>
    <row r="114" spans="2:2" s="263" customFormat="1">
      <c r="B114" s="262"/>
    </row>
    <row r="115" spans="2:2" s="263" customFormat="1">
      <c r="B115" s="262"/>
    </row>
    <row r="116" spans="2:2" s="263" customFormat="1">
      <c r="B116" s="262"/>
    </row>
    <row r="117" spans="2:2" s="263" customFormat="1">
      <c r="B117" s="262"/>
    </row>
    <row r="118" spans="2:2" s="263" customFormat="1">
      <c r="B118" s="262"/>
    </row>
    <row r="119" spans="2:2" s="263" customFormat="1">
      <c r="B119" s="262"/>
    </row>
    <row r="120" spans="2:2" s="263" customFormat="1">
      <c r="B120" s="262"/>
    </row>
    <row r="121" spans="2:2" s="263" customFormat="1">
      <c r="B121" s="262"/>
    </row>
    <row r="122" spans="2:2" s="263" customFormat="1">
      <c r="B122" s="262"/>
    </row>
    <row r="123" spans="2:2" s="263" customFormat="1">
      <c r="B123" s="262"/>
    </row>
    <row r="124" spans="2:2" s="263" customFormat="1">
      <c r="B124" s="262"/>
    </row>
    <row r="125" spans="2:2" s="263" customFormat="1">
      <c r="B125" s="262"/>
    </row>
    <row r="126" spans="2:2" s="263" customFormat="1">
      <c r="B126" s="262"/>
    </row>
    <row r="127" spans="2:2" s="263" customFormat="1">
      <c r="B127" s="262"/>
    </row>
    <row r="128" spans="2:2" s="263" customFormat="1">
      <c r="B128" s="262"/>
    </row>
    <row r="129" spans="2:2" s="263" customFormat="1">
      <c r="B129" s="262"/>
    </row>
    <row r="130" spans="2:2" s="263" customFormat="1">
      <c r="B130" s="262"/>
    </row>
    <row r="131" spans="2:2" s="263" customFormat="1">
      <c r="B131" s="262"/>
    </row>
    <row r="132" spans="2:2" s="263" customFormat="1">
      <c r="B132" s="262"/>
    </row>
    <row r="133" spans="2:2" s="263" customFormat="1">
      <c r="B133" s="262"/>
    </row>
    <row r="134" spans="2:2" s="263" customFormat="1">
      <c r="B134" s="262"/>
    </row>
    <row r="135" spans="2:2" s="263" customFormat="1">
      <c r="B135" s="262"/>
    </row>
    <row r="136" spans="2:2" s="263" customFormat="1">
      <c r="B136" s="262"/>
    </row>
    <row r="137" spans="2:2" s="263" customFormat="1">
      <c r="B137" s="262"/>
    </row>
    <row r="138" spans="2:2" s="263" customFormat="1">
      <c r="B138" s="262"/>
    </row>
    <row r="139" spans="2:2" s="263" customFormat="1">
      <c r="B139" s="262"/>
    </row>
    <row r="140" spans="2:2" s="263" customFormat="1">
      <c r="B140" s="262"/>
    </row>
    <row r="141" spans="2:2" s="263" customFormat="1">
      <c r="B141" s="262"/>
    </row>
    <row r="142" spans="2:2" s="263" customFormat="1">
      <c r="B142" s="262"/>
    </row>
    <row r="143" spans="2:2" s="263" customFormat="1">
      <c r="B143" s="262"/>
    </row>
    <row r="144" spans="2:2" s="263" customFormat="1">
      <c r="B144" s="262"/>
    </row>
    <row r="145" spans="2:2" s="263" customFormat="1">
      <c r="B145" s="262"/>
    </row>
    <row r="146" spans="2:2" s="263" customFormat="1">
      <c r="B146" s="262"/>
    </row>
    <row r="147" spans="2:2" s="263" customFormat="1">
      <c r="B147" s="262"/>
    </row>
    <row r="148" spans="2:2" s="263" customFormat="1">
      <c r="B148" s="262"/>
    </row>
    <row r="149" spans="2:2" s="263" customFormat="1">
      <c r="B149" s="262"/>
    </row>
    <row r="150" spans="2:2" s="263" customFormat="1">
      <c r="B150" s="262"/>
    </row>
    <row r="151" spans="2:2" s="263" customFormat="1">
      <c r="B151" s="262"/>
    </row>
    <row r="152" spans="2:2" s="263" customFormat="1">
      <c r="B152" s="262"/>
    </row>
    <row r="153" spans="2:2" s="263" customFormat="1">
      <c r="B153" s="262"/>
    </row>
    <row r="154" spans="2:2" s="263" customFormat="1">
      <c r="B154" s="262"/>
    </row>
    <row r="155" spans="2:2" s="263" customFormat="1">
      <c r="B155" s="262"/>
    </row>
    <row r="156" spans="2:2" s="263" customFormat="1">
      <c r="B156" s="262"/>
    </row>
    <row r="157" spans="2:2" s="263" customFormat="1">
      <c r="B157" s="262"/>
    </row>
    <row r="158" spans="2:2" s="263" customFormat="1">
      <c r="B158" s="262"/>
    </row>
    <row r="159" spans="2:2" s="263" customFormat="1">
      <c r="B159" s="262"/>
    </row>
    <row r="160" spans="2:2" s="263" customFormat="1">
      <c r="B160" s="262"/>
    </row>
    <row r="161" spans="2:2" s="263" customFormat="1">
      <c r="B161" s="262"/>
    </row>
    <row r="162" spans="2:2" s="263" customFormat="1">
      <c r="B162" s="262"/>
    </row>
    <row r="163" spans="2:2" s="263" customFormat="1">
      <c r="B163" s="262"/>
    </row>
    <row r="164" spans="2:2" s="263" customFormat="1">
      <c r="B164" s="262"/>
    </row>
    <row r="165" spans="2:2" s="263" customFormat="1">
      <c r="B165" s="262"/>
    </row>
    <row r="166" spans="2:2" s="263" customFormat="1">
      <c r="B166" s="262"/>
    </row>
    <row r="167" spans="2:2" s="263" customFormat="1">
      <c r="B167" s="262"/>
    </row>
    <row r="168" spans="2:2" s="263" customFormat="1">
      <c r="B168" s="262"/>
    </row>
    <row r="169" spans="2:2" s="263" customFormat="1">
      <c r="B169" s="262"/>
    </row>
    <row r="170" spans="2:2" s="263" customFormat="1">
      <c r="B170" s="262"/>
    </row>
    <row r="171" spans="2:2" s="263" customFormat="1">
      <c r="B171" s="262"/>
    </row>
    <row r="172" spans="2:2" s="263" customFormat="1">
      <c r="B172" s="262"/>
    </row>
    <row r="173" spans="2:2" s="263" customFormat="1">
      <c r="B173" s="262"/>
    </row>
    <row r="174" spans="2:2" s="263" customFormat="1">
      <c r="B174" s="262"/>
    </row>
    <row r="175" spans="2:2" s="263" customFormat="1">
      <c r="B175" s="262"/>
    </row>
    <row r="176" spans="2:2" s="263" customFormat="1">
      <c r="B176" s="262"/>
    </row>
    <row r="177" spans="2:2" s="263" customFormat="1">
      <c r="B177" s="262"/>
    </row>
    <row r="178" spans="2:2" s="263" customFormat="1">
      <c r="B178" s="262"/>
    </row>
    <row r="179" spans="2:2" s="263" customFormat="1">
      <c r="B179" s="262"/>
    </row>
    <row r="180" spans="2:2" s="263" customFormat="1">
      <c r="B180" s="262"/>
    </row>
    <row r="181" spans="2:2" s="263" customFormat="1">
      <c r="B181" s="262"/>
    </row>
    <row r="182" spans="2:2" s="263" customFormat="1">
      <c r="B182" s="262"/>
    </row>
    <row r="183" spans="2:2" s="263" customFormat="1">
      <c r="B183" s="262"/>
    </row>
    <row r="184" spans="2:2" s="263" customFormat="1">
      <c r="B184" s="262"/>
    </row>
    <row r="185" spans="2:2" s="263" customFormat="1">
      <c r="B185" s="262"/>
    </row>
    <row r="186" spans="2:2" s="263" customFormat="1">
      <c r="B186" s="262"/>
    </row>
    <row r="187" spans="2:2" s="263" customFormat="1">
      <c r="B187" s="262"/>
    </row>
    <row r="188" spans="2:2" s="263" customFormat="1">
      <c r="B188" s="262"/>
    </row>
    <row r="189" spans="2:2" s="263" customFormat="1">
      <c r="B189" s="262"/>
    </row>
    <row r="190" spans="2:2" s="263" customFormat="1">
      <c r="B190" s="262"/>
    </row>
    <row r="191" spans="2:2" s="263" customFormat="1">
      <c r="B191" s="262"/>
    </row>
    <row r="192" spans="2:2" s="263" customFormat="1">
      <c r="B192" s="262"/>
    </row>
    <row r="193" spans="2:2" s="263" customFormat="1">
      <c r="B193" s="262"/>
    </row>
    <row r="194" spans="2:2" s="263" customFormat="1">
      <c r="B194" s="262"/>
    </row>
    <row r="195" spans="2:2" s="263" customFormat="1">
      <c r="B195" s="262"/>
    </row>
    <row r="196" spans="2:2" s="263" customFormat="1">
      <c r="B196" s="262"/>
    </row>
    <row r="197" spans="2:2" s="263" customFormat="1">
      <c r="B197" s="262"/>
    </row>
    <row r="198" spans="2:2" s="263" customFormat="1">
      <c r="B198" s="262"/>
    </row>
    <row r="199" spans="2:2" s="263" customFormat="1">
      <c r="B199" s="262"/>
    </row>
    <row r="200" spans="2:2" s="263" customFormat="1">
      <c r="B200" s="262"/>
    </row>
    <row r="201" spans="2:2" s="263" customFormat="1">
      <c r="B201" s="262"/>
    </row>
    <row r="202" spans="2:2" s="263" customFormat="1">
      <c r="B202" s="262"/>
    </row>
    <row r="203" spans="2:2" s="263" customFormat="1">
      <c r="B203" s="262"/>
    </row>
    <row r="204" spans="2:2" s="263" customFormat="1">
      <c r="B204" s="262"/>
    </row>
    <row r="205" spans="2:2" s="263" customFormat="1">
      <c r="B205" s="262"/>
    </row>
    <row r="206" spans="2:2" s="263" customFormat="1">
      <c r="B206" s="262"/>
    </row>
    <row r="207" spans="2:2" s="263" customFormat="1">
      <c r="B207" s="262"/>
    </row>
    <row r="208" spans="2:2" s="263" customFormat="1">
      <c r="B208" s="262"/>
    </row>
    <row r="209" spans="2:2" s="263" customFormat="1">
      <c r="B209" s="262"/>
    </row>
    <row r="210" spans="2:2" s="263" customFormat="1">
      <c r="B210" s="262"/>
    </row>
    <row r="211" spans="2:2" s="263" customFormat="1">
      <c r="B211" s="262"/>
    </row>
    <row r="212" spans="2:2" s="263" customFormat="1">
      <c r="B212" s="262"/>
    </row>
    <row r="213" spans="2:2" s="263" customFormat="1">
      <c r="B213" s="262"/>
    </row>
    <row r="214" spans="2:2" s="263" customFormat="1">
      <c r="B214" s="262"/>
    </row>
    <row r="215" spans="2:2" s="263" customFormat="1">
      <c r="B215" s="262"/>
    </row>
    <row r="216" spans="2:2" s="263" customFormat="1">
      <c r="B216" s="262"/>
    </row>
    <row r="217" spans="2:2" s="263" customFormat="1">
      <c r="B217" s="262"/>
    </row>
    <row r="218" spans="2:2" s="263" customFormat="1">
      <c r="B218" s="262"/>
    </row>
    <row r="219" spans="2:2" s="263" customFormat="1">
      <c r="B219" s="262"/>
    </row>
    <row r="220" spans="2:2" s="263" customFormat="1">
      <c r="B220" s="262"/>
    </row>
    <row r="221" spans="2:2" s="263" customFormat="1">
      <c r="B221" s="262"/>
    </row>
    <row r="222" spans="2:2" s="263" customFormat="1">
      <c r="B222" s="262"/>
    </row>
    <row r="223" spans="2:2" s="263" customFormat="1">
      <c r="B223" s="262"/>
    </row>
    <row r="224" spans="2:2" s="263" customFormat="1">
      <c r="B224" s="262"/>
    </row>
    <row r="225" spans="2:2" s="263" customFormat="1">
      <c r="B225" s="262"/>
    </row>
    <row r="226" spans="2:2" s="263" customFormat="1">
      <c r="B226" s="262"/>
    </row>
    <row r="227" spans="2:2" s="263" customFormat="1">
      <c r="B227" s="262"/>
    </row>
    <row r="228" spans="2:2" s="263" customFormat="1">
      <c r="B228" s="262"/>
    </row>
    <row r="229" spans="2:2" s="263" customFormat="1">
      <c r="B229" s="262"/>
    </row>
    <row r="230" spans="2:2" s="263" customFormat="1">
      <c r="B230" s="262"/>
    </row>
    <row r="231" spans="2:2" s="263" customFormat="1">
      <c r="B231" s="262"/>
    </row>
    <row r="232" spans="2:2" s="263" customFormat="1">
      <c r="B232" s="262"/>
    </row>
    <row r="233" spans="2:2" s="263" customFormat="1">
      <c r="B233" s="262"/>
    </row>
    <row r="234" spans="2:2" s="263" customFormat="1">
      <c r="B234" s="262"/>
    </row>
    <row r="235" spans="2:2" s="263" customFormat="1">
      <c r="B235" s="262"/>
    </row>
    <row r="236" spans="2:2" s="263" customFormat="1">
      <c r="B236" s="262"/>
    </row>
    <row r="237" spans="2:2" s="263" customFormat="1">
      <c r="B237" s="262"/>
    </row>
    <row r="238" spans="2:2" s="263" customFormat="1">
      <c r="B238" s="262"/>
    </row>
    <row r="239" spans="2:2" s="263" customFormat="1">
      <c r="B239" s="262"/>
    </row>
    <row r="240" spans="2:2" s="263" customFormat="1">
      <c r="B240" s="262"/>
    </row>
    <row r="241" spans="2:2" s="263" customFormat="1">
      <c r="B241" s="262"/>
    </row>
    <row r="242" spans="2:2" s="263" customFormat="1">
      <c r="B242" s="262"/>
    </row>
    <row r="243" spans="2:2" s="263" customFormat="1">
      <c r="B243" s="262"/>
    </row>
    <row r="244" spans="2:2" s="263" customFormat="1">
      <c r="B244" s="262"/>
    </row>
    <row r="245" spans="2:2" s="263" customFormat="1">
      <c r="B245" s="262"/>
    </row>
    <row r="246" spans="2:2" s="263" customFormat="1">
      <c r="B246" s="262"/>
    </row>
    <row r="247" spans="2:2" s="263" customFormat="1">
      <c r="B247" s="262"/>
    </row>
    <row r="248" spans="2:2" s="263" customFormat="1">
      <c r="B248" s="262"/>
    </row>
    <row r="249" spans="2:2" s="263" customFormat="1">
      <c r="B249" s="262"/>
    </row>
    <row r="250" spans="2:2" s="263" customFormat="1">
      <c r="B250" s="262"/>
    </row>
    <row r="251" spans="2:2" s="263" customFormat="1">
      <c r="B251" s="262"/>
    </row>
    <row r="252" spans="2:2" s="263" customFormat="1">
      <c r="B252" s="262"/>
    </row>
    <row r="253" spans="2:2" s="263" customFormat="1">
      <c r="B253" s="262"/>
    </row>
    <row r="254" spans="2:2" s="263" customFormat="1">
      <c r="B254" s="262"/>
    </row>
  </sheetData>
  <sheetProtection algorithmName="SHA-512" hashValue="IvHkT0HrDQ4Ro1neBFZcLe3Ds0MY8EZ9yBGtTq9bCEn777Gz/KJs6EaSIlCXWYNTP3qEP5Lj4fVxg78AMfgTsA==" saltValue="DlpCIxpL7v3VAztgCAHb6Q==" spinCount="100000" sheet="1" objects="1" scenarios="1"/>
  <mergeCells count="6">
    <mergeCell ref="B3:C4"/>
    <mergeCell ref="D3:E3"/>
    <mergeCell ref="F3:F4"/>
    <mergeCell ref="G3:U3"/>
    <mergeCell ref="C37:C38"/>
    <mergeCell ref="D37:D38"/>
  </mergeCells>
  <printOptions horizontalCentered="1"/>
  <pageMargins left="0.27559055118110237" right="0.11811023622047245" top="0.6692913385826772" bottom="0.51181102362204722" header="0.39370078740157483" footer="0.51181102362204722"/>
  <pageSetup paperSize="9" scale="70" orientation="portrait" horizontalDpi="4294967293" verticalDpi="0" r:id="rId1"/>
  <headerFooter alignWithMargins="0">
    <oddHeader>&amp;L&amp;"Arial,Fett"&amp;A&amp;C&amp;D&amp;R&amp;"Arial,Fett"UNIVERSITÄTSKLINIKUM AACHEN&amp;"Arial,Standard"
Geschäftsbereich Betriebe</oddHead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22</vt:i4>
      </vt:variant>
    </vt:vector>
  </HeadingPairs>
  <TitlesOfParts>
    <vt:vector size="29" baseType="lpstr">
      <vt:lpstr>Deckblatt</vt:lpstr>
      <vt:lpstr>Angebotszusammenstellung</vt:lpstr>
      <vt:lpstr>UKA_Aussengebäude_Übersicht</vt:lpstr>
      <vt:lpstr>IZDM</vt:lpstr>
      <vt:lpstr>Berechnung SVS</vt:lpstr>
      <vt:lpstr>R_Häufigkeit_Faktoren UHR</vt:lpstr>
      <vt:lpstr>Raumgruppen_Leistungswerte</vt:lpstr>
      <vt:lpstr>Bereich_1</vt:lpstr>
      <vt:lpstr>Angebotszusammenstellung!Druckbereich</vt:lpstr>
      <vt:lpstr>'Berechnung SVS'!Druckbereich</vt:lpstr>
      <vt:lpstr>Deckblatt!Druckbereich</vt:lpstr>
      <vt:lpstr>IZDM!Druckbereich</vt:lpstr>
      <vt:lpstr>'R_Häufigkeit_Faktoren UHR'!Druckbereich</vt:lpstr>
      <vt:lpstr>Raumgruppen_Leistungswerte!Druckbereich</vt:lpstr>
      <vt:lpstr>UKA_Aussengebäude_Übersicht!Druckbereich</vt:lpstr>
      <vt:lpstr>IZDM!Drucktitel</vt:lpstr>
      <vt:lpstr>Grundfläche</vt:lpstr>
      <vt:lpstr>Monatsfläche_VEH_Gesamt</vt:lpstr>
      <vt:lpstr>Monatsfläche_VEH_Sonntag</vt:lpstr>
      <vt:lpstr>Monatsfläche_VEH_Werktag</vt:lpstr>
      <vt:lpstr>Monatspreis_VEH_Gesamt</vt:lpstr>
      <vt:lpstr>Monatspreis_VEH_Sonntag</vt:lpstr>
      <vt:lpstr>Monatspreis_VEH_Werktags</vt:lpstr>
      <vt:lpstr>Monatsstunden_Sonntag</vt:lpstr>
      <vt:lpstr>Monatsstunden_VEH_GESAMT</vt:lpstr>
      <vt:lpstr>Monatsstunden_VEH_Werktag</vt:lpstr>
      <vt:lpstr>RA</vt:lpstr>
      <vt:lpstr>Raumbuch_VEH</vt:lpstr>
      <vt:lpstr>Vergabefläche_VEH</vt:lpstr>
    </vt:vector>
  </TitlesOfParts>
  <Company>Schubert Holding AG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mbusch</dc:creator>
  <cp:lastModifiedBy>BKO-Partner</cp:lastModifiedBy>
  <cp:lastPrinted>2023-12-21T09:15:17Z</cp:lastPrinted>
  <dcterms:created xsi:type="dcterms:W3CDTF">2007-01-08T07:37:16Z</dcterms:created>
  <dcterms:modified xsi:type="dcterms:W3CDTF">2025-05-27T07:54:00Z</dcterms:modified>
</cp:coreProperties>
</file>
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gizonline-my.sharepoint.com/personal/dima_paounova_giz_de/Documents/Vertrräge US/78035 öA IT- KI/VMS/"/>
    </mc:Choice>
  </mc:AlternateContent>
  <xr:revisionPtr revIDLastSave="0" documentId="8_{4364301E-F716-4100-9CC7-69AD85C02748}" xr6:coauthVersionLast="47" xr6:coauthVersionMax="47" xr10:uidLastSave="{00000000-0000-0000-0000-000000000000}"/>
  <bookViews>
    <workbookView xWindow="-120" yWindow="-120" windowWidth="29040" windowHeight="15720" xr2:uid="{9D483E88-86B2-494B-95C3-85123EDC5ECF}"/>
  </bookViews>
  <sheets>
    <sheet name="Preisblatt | Leistung" sheetId="1" r:id="rId1"/>
    <sheet name="Preisblatt | opt. Leistung" sheetId="4" r:id="rId2"/>
    <sheet name="Summe Leistung + opt. Leist." sheetId="5" r:id="rId3"/>
    <sheet name="Liste der Schlüsselfachkräfte" sheetId="3" r:id="rId4"/>
    <sheet name="Listen" sheetId="2" state="hidden" r:id="rId5"/>
  </sheets>
  <externalReferences>
    <externalReference r:id="rId6"/>
    <externalReference r:id="rId7"/>
  </externalReferences>
  <definedNames>
    <definedName name="_xlnm.Print_Area" localSheetId="0">'Preisblatt | Leistung'!$A$1:$G$98</definedName>
    <definedName name="_xlnm.Print_Area" localSheetId="1">'Preisblatt | opt. Leistung'!$A$1:$G$98</definedName>
    <definedName name="_xlnm.Print_Area" localSheetId="2">'Summe Leistung + opt. Leist.'!$A$1:$G$33</definedName>
    <definedName name="_xlnm.Print_Titles" localSheetId="0">'Preisblatt | Leistung'!$1:$4</definedName>
    <definedName name="_xlnm.Print_Titles" localSheetId="1">'Preisblatt | opt. Leistung'!$1:$4</definedName>
    <definedName name="_xlnm.Print_Titles" localSheetId="2">'Summe Leistung + opt. Leist.'!$1:$1</definedName>
    <definedName name="Ersatzspalten" localSheetId="1">'Preisblatt | opt. Leistung'!$I$3:$L$3</definedName>
    <definedName name="Ersatzspalten">'Preisblatt | Leistung'!$I$3:$L$3</definedName>
    <definedName name="Erstattungsart">Listen!$B$4:$B$7</definedName>
    <definedName name="JaNein" localSheetId="2">[1]Listen!$D$4:$D$5</definedName>
    <definedName name="lSFK" localSheetId="2">'[2]Liste der Schlüsselfachkräfte'!$B$11:$B$34</definedName>
    <definedName name="lSFK">'Liste der Schlüsselfachkräfte'!$B$11:$B$34</definedName>
    <definedName name="rZeilen" localSheetId="1">'Preisblatt | opt. Leistung'!$N$13:$N$19</definedName>
    <definedName name="rZeilen">'Preisblatt | Leistung'!$N$13:$N$19</definedName>
    <definedName name="VENr" localSheetId="1">'Preisblatt | opt. Leistung'!#REF!</definedName>
    <definedName name="VENr">'Preisblatt | Leistung'!#REF!</definedName>
    <definedName name="VEspalten" localSheetId="1">'Preisblatt | opt. Leistung'!#REF!</definedName>
    <definedName name="VEspalten">'Preisblatt | Leistung'!#REF!</definedName>
  </definedNames>
  <calcPr calcId="191028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3" l="1"/>
  <c r="B5" i="5"/>
  <c r="D5" i="5"/>
  <c r="D3" i="5"/>
  <c r="B3" i="5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4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5" i="4"/>
  <c r="F41" i="4"/>
  <c r="F42" i="4"/>
  <c r="F43" i="4"/>
  <c r="F44" i="4"/>
  <c r="F45" i="4"/>
  <c r="F46" i="4"/>
  <c r="F47" i="4"/>
  <c r="F48" i="4"/>
  <c r="F49" i="4"/>
  <c r="F50" i="4"/>
  <c r="F51" i="4"/>
  <c r="F53" i="4"/>
  <c r="F12" i="4"/>
  <c r="F13" i="4"/>
  <c r="F14" i="4"/>
  <c r="F15" i="4"/>
  <c r="F16" i="4"/>
  <c r="F17" i="4"/>
  <c r="F18" i="4"/>
  <c r="F19" i="4"/>
  <c r="F21" i="4"/>
  <c r="F26" i="4"/>
  <c r="F27" i="4"/>
  <c r="F28" i="4"/>
  <c r="F29" i="4"/>
  <c r="F30" i="4"/>
  <c r="F31" i="4"/>
  <c r="F32" i="4"/>
  <c r="F33" i="4"/>
  <c r="F34" i="4"/>
  <c r="F35" i="4"/>
  <c r="F36" i="4"/>
  <c r="F38" i="4"/>
  <c r="F98" i="4"/>
  <c r="F12" i="1"/>
  <c r="F13" i="1"/>
  <c r="F14" i="1"/>
  <c r="F15" i="1"/>
  <c r="F16" i="1"/>
  <c r="F17" i="1"/>
  <c r="F18" i="1"/>
  <c r="F19" i="1"/>
  <c r="F21" i="1"/>
  <c r="F26" i="1"/>
  <c r="F27" i="1"/>
  <c r="F32" i="1"/>
  <c r="F28" i="1"/>
  <c r="F29" i="1"/>
  <c r="F30" i="1"/>
  <c r="F31" i="1"/>
  <c r="F33" i="1"/>
  <c r="F34" i="1"/>
  <c r="F35" i="1"/>
  <c r="F36" i="1"/>
  <c r="F38" i="1"/>
  <c r="F41" i="1"/>
  <c r="F42" i="1"/>
  <c r="F43" i="1"/>
  <c r="F44" i="1"/>
  <c r="F45" i="1"/>
  <c r="F46" i="1"/>
  <c r="F47" i="1"/>
  <c r="F48" i="1"/>
  <c r="F49" i="1"/>
  <c r="F50" i="1"/>
  <c r="F51" i="1"/>
  <c r="F53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5" i="1"/>
  <c r="F80" i="1"/>
  <c r="F81" i="1"/>
  <c r="F82" i="1"/>
  <c r="F83" i="1"/>
  <c r="F84" i="1"/>
  <c r="F86" i="1"/>
  <c r="F87" i="1"/>
  <c r="F88" i="1"/>
  <c r="F89" i="1"/>
  <c r="F90" i="1"/>
  <c r="F91" i="1"/>
  <c r="F92" i="1"/>
  <c r="F85" i="1"/>
  <c r="F94" i="1"/>
  <c r="F98" i="1"/>
  <c r="E33" i="5"/>
  <c r="E29" i="5"/>
  <c r="E25" i="5"/>
  <c r="E19" i="5"/>
  <c r="E16" i="5"/>
  <c r="E11" i="5"/>
  <c r="D7" i="5"/>
  <c r="D7" i="4"/>
  <c r="D5" i="4"/>
  <c r="D3" i="4"/>
  <c r="B5" i="4"/>
  <c r="B3" i="4"/>
  <c r="B51" i="4"/>
  <c r="B50" i="4"/>
  <c r="B49" i="4"/>
  <c r="B48" i="4"/>
  <c r="B47" i="4"/>
  <c r="B46" i="4"/>
  <c r="B45" i="4"/>
  <c r="B44" i="4"/>
  <c r="B43" i="4"/>
  <c r="B42" i="4"/>
  <c r="B41" i="4"/>
  <c r="B36" i="4"/>
  <c r="B35" i="4"/>
  <c r="B34" i="4"/>
  <c r="B33" i="4"/>
  <c r="B32" i="4"/>
  <c r="B31" i="4"/>
  <c r="B30" i="4"/>
  <c r="B29" i="4"/>
  <c r="B28" i="4"/>
  <c r="B27" i="4"/>
  <c r="B26" i="4"/>
  <c r="B46" i="1"/>
  <c r="B45" i="1"/>
  <c r="B44" i="1"/>
  <c r="B43" i="1"/>
  <c r="B42" i="1"/>
  <c r="B41" i="1"/>
  <c r="B49" i="1"/>
  <c r="B48" i="1"/>
  <c r="B47" i="1"/>
  <c r="B34" i="1"/>
  <c r="B32" i="1"/>
  <c r="B35" i="1"/>
  <c r="B50" i="1"/>
  <c r="B26" i="1"/>
  <c r="B27" i="1"/>
  <c r="B28" i="1"/>
  <c r="B29" i="1"/>
  <c r="B31" i="1"/>
  <c r="B33" i="1"/>
  <c r="B36" i="1"/>
  <c r="B30" i="1"/>
  <c r="B51" i="1"/>
  <c r="C6" i="3"/>
  <c r="C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Strecker</author>
  </authors>
  <commentList>
    <comment ref="A25" authorId="0" shapeId="0" xr:uid="{ECD8326D-698A-43A0-92CD-9917E75046B7}">
      <text>
        <r>
          <rPr>
            <b/>
            <sz val="9"/>
            <color indexed="81"/>
            <rFont val="Segoe UI"/>
            <family val="2"/>
          </rPr>
          <t>Es kann hier aus der Liste der Schlüsselkräfte ausgewählt werden  oder eine Position (z.B. Fachkraft X) manuell eingetragen werden.
Der Name befüllt sich entsprechend automatisch</t>
        </r>
      </text>
    </comment>
    <comment ref="B25" authorId="0" shapeId="0" xr:uid="{577B766B-AB85-4805-816B-7568F5501DDD}">
      <text>
        <r>
          <rPr>
            <b/>
            <sz val="9"/>
            <color indexed="81"/>
            <rFont val="Segoe UI"/>
            <family val="2"/>
          </rPr>
          <t>Ergibt sich aus der Befüllung in der 'Liste der Schlüsselfachkräfte'
Wenn die Position dort nicht vorhanden ist, steht hier "N.N."</t>
        </r>
      </text>
    </comment>
    <comment ref="E25" authorId="0" shapeId="0" xr:uid="{C27E96E9-6077-4823-A79A-291CCEB957F1}">
      <text>
        <r>
          <rPr>
            <b/>
            <sz val="9"/>
            <color indexed="81"/>
            <rFont val="Segoe UI"/>
            <family val="2"/>
          </rPr>
          <t>Honorarsatz pro Fachkrafttag</t>
        </r>
      </text>
    </comment>
    <comment ref="A40" authorId="0" shapeId="0" xr:uid="{AA1BC6DC-2FFF-46AD-A5C5-2B50CB7C4EE6}">
      <text>
        <r>
          <rPr>
            <b/>
            <sz val="9"/>
            <color indexed="81"/>
            <rFont val="Segoe UI"/>
            <family val="2"/>
          </rPr>
          <t>Es kann hier aus der Liste der Schlüsselkräfte ausgewählt werden, der Name wird dann automatisch aus dieser übernommen. 
Wird eine Position manuell eingeschrieben, steht bei Name "N.N."</t>
        </r>
      </text>
    </comment>
    <comment ref="B40" authorId="0" shapeId="0" xr:uid="{28686EA1-B0E0-4E9C-B5D6-B9D5D6E74C84}">
      <text>
        <r>
          <rPr>
            <b/>
            <sz val="9"/>
            <color indexed="81"/>
            <rFont val="Segoe UI"/>
            <family val="2"/>
          </rPr>
          <t>ergibt sich aus der Befüllung der 'Liste der Schlüsselfachkräfte'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Strecker</author>
  </authors>
  <commentList>
    <comment ref="A25" authorId="0" shapeId="0" xr:uid="{FEF43603-B648-479B-94B7-A4D0046E62B3}">
      <text>
        <r>
          <rPr>
            <b/>
            <sz val="9"/>
            <color indexed="81"/>
            <rFont val="Segoe UI"/>
            <family val="2"/>
          </rPr>
          <t>Es kann hier aus der Liste der Schlüsselkräfte ausgewählt werden  oder eine Position (z.B. Fachkraft X) manuell eingetragen werden.
Der Name befüllt sich entsprechend automatisch</t>
        </r>
      </text>
    </comment>
    <comment ref="B25" authorId="0" shapeId="0" xr:uid="{767B581D-BDA8-44B7-A2DD-4B6DBC3E41D6}">
      <text>
        <r>
          <rPr>
            <b/>
            <sz val="9"/>
            <color indexed="81"/>
            <rFont val="Segoe UI"/>
            <family val="2"/>
          </rPr>
          <t>Ergibt sich aus der Befüllung in der 'Liste der Schlüsselfachkräfte'
Wenn die Position dort nicht vorhanden ist, steht hier "N.N."</t>
        </r>
      </text>
    </comment>
    <comment ref="E25" authorId="0" shapeId="0" xr:uid="{0E2C377A-4F2A-48C8-9818-A69440E74723}">
      <text>
        <r>
          <rPr>
            <b/>
            <sz val="9"/>
            <color indexed="81"/>
            <rFont val="Segoe UI"/>
            <family val="2"/>
          </rPr>
          <t>Honorarsatz pro Fachkrafttag</t>
        </r>
      </text>
    </comment>
    <comment ref="A40" authorId="0" shapeId="0" xr:uid="{855F90CE-999E-4418-ABC8-AA0180BD3DD5}">
      <text>
        <r>
          <rPr>
            <b/>
            <sz val="9"/>
            <color indexed="81"/>
            <rFont val="Segoe UI"/>
            <family val="2"/>
          </rPr>
          <t>Es kann hier aus der Liste der Schlüsselkräfte ausgewählt werden, der Name wird dann automatisch aus dieser übernommen. 
Wird eine Position manuell eingeschrieben, steht bei Name "N.N."</t>
        </r>
      </text>
    </comment>
    <comment ref="B40" authorId="0" shapeId="0" xr:uid="{5F94DAD6-7B15-445D-ABE8-E1E9C009B507}">
      <text>
        <r>
          <rPr>
            <b/>
            <sz val="9"/>
            <color indexed="81"/>
            <rFont val="Segoe UI"/>
            <family val="2"/>
          </rPr>
          <t>ergibt sich aus der Befüllung der 'Liste der Schlüsselfachkräfte'</t>
        </r>
      </text>
    </comment>
  </commentList>
</comments>
</file>

<file path=xl/sharedStrings.xml><?xml version="1.0" encoding="utf-8"?>
<sst xmlns="http://schemas.openxmlformats.org/spreadsheetml/2006/main" count="359" uniqueCount="100">
  <si>
    <t>Vertragsnummer (VN):</t>
  </si>
  <si>
    <t>Datum:</t>
  </si>
  <si>
    <t>Projektnummer (PN):</t>
  </si>
  <si>
    <t>Auftragnehmer (AN):</t>
  </si>
  <si>
    <t>Adresse:</t>
  </si>
  <si>
    <t>1. Festpreise</t>
  </si>
  <si>
    <t>Position</t>
  </si>
  <si>
    <t>Beschreibung</t>
  </si>
  <si>
    <t>Menge</t>
  </si>
  <si>
    <t>Vergütung</t>
  </si>
  <si>
    <t>Summe</t>
  </si>
  <si>
    <t>Erläuterungen</t>
  </si>
  <si>
    <t>Gesamtsumme</t>
  </si>
  <si>
    <t>Milestone 1</t>
  </si>
  <si>
    <t>Milestone 2</t>
  </si>
  <si>
    <t>Milestone 3</t>
  </si>
  <si>
    <t>Milestone 4</t>
  </si>
  <si>
    <t>Zwischensumme</t>
  </si>
  <si>
    <t xml:space="preserve">2.1 Honorar Tagessatz 
                 Position </t>
  </si>
  <si>
    <t>Name</t>
  </si>
  <si>
    <t>Erstattungsart</t>
  </si>
  <si>
    <t>Menge FKT</t>
  </si>
  <si>
    <t xml:space="preserve">Summe </t>
  </si>
  <si>
    <t>Teamleiter</t>
  </si>
  <si>
    <t xml:space="preserve">Pauschal / Menge </t>
  </si>
  <si>
    <t>SFK 1</t>
  </si>
  <si>
    <t>SFK 2</t>
  </si>
  <si>
    <t>SFK 3</t>
  </si>
  <si>
    <t xml:space="preserve">2.2 Auftragsbed. Kosten
                 Position </t>
  </si>
  <si>
    <t>Abrechnungs-schlüssel</t>
  </si>
  <si>
    <t>Preis</t>
  </si>
  <si>
    <t>Pauschal / Menge</t>
  </si>
  <si>
    <t>3. Reisekosten</t>
  </si>
  <si>
    <t xml:space="preserve">Link auf die aktuelle Ländertabelle des Bundes: </t>
  </si>
  <si>
    <t>Unterposition</t>
  </si>
  <si>
    <t>Budget / Preis</t>
  </si>
  <si>
    <t>Gesamtreisekostenbudget</t>
  </si>
  <si>
    <t>gegen Nachweis</t>
  </si>
  <si>
    <t>Bitte wählen</t>
  </si>
  <si>
    <t>Transport</t>
  </si>
  <si>
    <t>Tagegeld</t>
  </si>
  <si>
    <t>Übernachtungsgeld</t>
  </si>
  <si>
    <t>Sonstige Reisekosten</t>
  </si>
  <si>
    <t>4. Andere Kosten</t>
  </si>
  <si>
    <t>Unteraufträge</t>
  </si>
  <si>
    <t>Ausrüstungsgüter</t>
  </si>
  <si>
    <t>Betriebskosten im Einsatzland</t>
  </si>
  <si>
    <t>Workshops</t>
  </si>
  <si>
    <t>Örtliche Zuschüsse</t>
  </si>
  <si>
    <t>Sonstige Kosten: [Einzelpositionen]</t>
  </si>
  <si>
    <t>Flexible Vergütungsposition</t>
  </si>
  <si>
    <t>5. Gesamtkosten</t>
  </si>
  <si>
    <t xml:space="preserve">Gesamtsumme (netto) </t>
  </si>
  <si>
    <r>
      <rPr>
        <b/>
        <sz val="9"/>
        <color rgb="FF000000"/>
        <rFont val="Arial"/>
        <family val="2"/>
      </rPr>
      <t xml:space="preserve">
</t>
    </r>
    <r>
      <rPr>
        <sz val="9"/>
        <color rgb="FF000000"/>
        <rFont val="Arial"/>
        <family val="2"/>
      </rPr>
      <t xml:space="preserve">
</t>
    </r>
  </si>
  <si>
    <r>
      <rPr>
        <b/>
        <sz val="9"/>
        <color rgb="FF000000"/>
        <rFont val="Arial"/>
        <family val="2"/>
      </rPr>
      <t xml:space="preserve">
</t>
    </r>
    <r>
      <rPr>
        <sz val="9"/>
        <color rgb="FF000000"/>
        <rFont val="Arial"/>
        <family val="2"/>
      </rPr>
      <t xml:space="preserve">
</t>
    </r>
  </si>
  <si>
    <t>Liste der Schlüsselfachkräfte (SFK)</t>
  </si>
  <si>
    <t>* Nur Fachkräfte, für die Vertragsergänzung erforderlich ist</t>
  </si>
  <si>
    <t>** Bei Wechsel der Schlüsselfachkraft bitte in Erläuterungen das Einsatzende eintragen und bei der neuen Fachkraft den Einsatzbeginn</t>
  </si>
  <si>
    <t>VN:</t>
  </si>
  <si>
    <t>PN:</t>
  </si>
  <si>
    <t>Bezeichnung Preisblatt</t>
  </si>
  <si>
    <t>Vorname</t>
  </si>
  <si>
    <t>Geburtsdatum</t>
  </si>
  <si>
    <t>Wohnort</t>
  </si>
  <si>
    <t>Erläuterung für Vertragsergänzungen</t>
  </si>
  <si>
    <t>SFK 4</t>
  </si>
  <si>
    <t>SFK 5</t>
  </si>
  <si>
    <t>SFK 6</t>
  </si>
  <si>
    <t>entfällt</t>
  </si>
  <si>
    <t xml:space="preserve"> </t>
  </si>
  <si>
    <t>Fachkräftepool 1</t>
  </si>
  <si>
    <t>Fachkräftepool 2</t>
  </si>
  <si>
    <t>Fachkräftepool 3</t>
  </si>
  <si>
    <t>2. Honorare und sonstige auftragsbedingte Kosten</t>
  </si>
  <si>
    <t>Fachkräftepool 4</t>
  </si>
  <si>
    <t>Fachkräftepool 5</t>
  </si>
  <si>
    <t>internationale Flüge</t>
  </si>
  <si>
    <t>nationale Flüge</t>
  </si>
  <si>
    <t>Milestone 5</t>
  </si>
  <si>
    <t>Milestone 6</t>
  </si>
  <si>
    <t>Milestone 7</t>
  </si>
  <si>
    <r>
      <t>CO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-Kompensationen von Flugreisen</t>
    </r>
  </si>
  <si>
    <t xml:space="preserve">
</t>
  </si>
  <si>
    <r>
      <rPr>
        <b/>
        <sz val="8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 xml:space="preserve"> </t>
    </r>
  </si>
  <si>
    <r>
      <rPr>
        <b/>
        <sz val="8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 xml:space="preserve">
</t>
    </r>
  </si>
  <si>
    <t xml:space="preserve">
</t>
  </si>
  <si>
    <t xml:space="preserve">5. Gesamtkosten </t>
  </si>
  <si>
    <t xml:space="preserve">4. Andere Kosten </t>
  </si>
  <si>
    <t xml:space="preserve">3. Reisekosten </t>
  </si>
  <si>
    <t xml:space="preserve">2. Honorare und sonstige auftragsbedingte Kosten </t>
  </si>
  <si>
    <r>
      <rPr>
        <b/>
        <sz val="11"/>
        <color theme="1"/>
        <rFont val="Arial"/>
        <family val="2"/>
        <scheme val="minor"/>
      </rPr>
      <t xml:space="preserve">
</t>
    </r>
    <r>
      <rPr>
        <b/>
        <sz val="10"/>
        <color theme="1"/>
        <rFont val="Arial"/>
        <family val="2"/>
        <scheme val="minor"/>
      </rPr>
      <t xml:space="preserve">
</t>
    </r>
    <r>
      <rPr>
        <b/>
        <sz val="14"/>
        <color theme="1"/>
        <rFont val="Arial"/>
        <family val="2"/>
        <scheme val="minor"/>
      </rPr>
      <t>Preisblatt - Leistung</t>
    </r>
  </si>
  <si>
    <t>Projektnummer/ Kostenstellennummer:</t>
  </si>
  <si>
    <r>
      <rPr>
        <b/>
        <sz val="11"/>
        <color theme="1"/>
        <rFont val="Arial"/>
        <family val="2"/>
        <scheme val="minor"/>
      </rPr>
      <t xml:space="preserve">
</t>
    </r>
    <r>
      <rPr>
        <b/>
        <sz val="10"/>
        <color theme="1"/>
        <rFont val="Arial"/>
        <family val="2"/>
        <scheme val="minor"/>
      </rPr>
      <t xml:space="preserve">
</t>
    </r>
    <r>
      <rPr>
        <b/>
        <sz val="14"/>
        <color theme="1"/>
        <rFont val="Arial"/>
        <family val="2"/>
        <scheme val="minor"/>
      </rPr>
      <t>Preisblatt | Option</t>
    </r>
  </si>
  <si>
    <t>Preisblatt - Summe Leistung + Option</t>
  </si>
  <si>
    <t>2.1 Honorar Tagessatz</t>
  </si>
  <si>
    <t>2.2 Auftragsbed. Kosten</t>
  </si>
  <si>
    <t>https://www.bundesfinanzministerium.de/Content/DE/Downloads/BMF_Schreiben/Steuerarten/Lohnsteuer/2023-11-21-steuerliche-behandlung-reisekosten-reisekostenverguetungen-2024.html</t>
  </si>
  <si>
    <t>81311588</t>
  </si>
  <si>
    <t>15590</t>
  </si>
  <si>
    <t>Bahnreisen, wie in der Leistungsbeschreibung erläutert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</si>
</sst>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#,##0.00\ &quot;€&quot;;\-#,##0.00\ &quot;€&quot;"/>
    <numFmt numFmtId="164" formatCode="#,##0.00_ ;\-#,##0.00\ "/>
    <numFmt numFmtId="165" formatCode="#,##0.00;\-#,##0.00;\-"/>
    <numFmt numFmtId="166" formatCode="#,##0.00\ &quot;€&quot;"/>
  </numFmts>
  <fonts count="47" x14ac:knownFonts="1">
    <font>
      <sz val="9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name val="Arial"/>
      <family val="2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"/>
      <color theme="1"/>
      <name val="Arial"/>
      <family val="2"/>
      <scheme val="minor"/>
    </font>
    <font>
      <b/>
      <sz val="9"/>
      <color indexed="81"/>
      <name val="Segoe UI"/>
      <family val="2"/>
    </font>
    <font>
      <sz val="9"/>
      <name val="Arial"/>
      <family val="2"/>
      <scheme val="minor"/>
    </font>
    <font>
      <i/>
      <sz val="8"/>
      <color theme="3"/>
      <name val="Arial"/>
      <family val="2"/>
      <scheme val="minor"/>
    </font>
    <font>
      <sz val="8"/>
      <name val="Arial"/>
      <family val="2"/>
      <scheme val="minor"/>
    </font>
    <font>
      <b/>
      <sz val="9"/>
      <color theme="0"/>
      <name val="Arial"/>
      <family val="2"/>
      <scheme val="minor"/>
    </font>
    <font>
      <sz val="6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3"/>
      <color theme="1"/>
      <name val="Arial"/>
      <family val="2"/>
      <scheme val="minor"/>
    </font>
    <font>
      <u/>
      <sz val="9"/>
      <color theme="10"/>
      <name val="Arial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8"/>
      <color theme="0" tint="-0.499984740745262"/>
      <name val="Arial"/>
      <family val="2"/>
      <scheme val="minor"/>
    </font>
    <font>
      <sz val="9"/>
      <name val="Arial"/>
      <family val="2"/>
    </font>
    <font>
      <sz val="11"/>
      <color theme="1"/>
      <name val="Arial"/>
      <family val="2"/>
    </font>
    <font>
      <vertAlign val="subscript"/>
      <sz val="9"/>
      <name val="Arial"/>
      <family val="2"/>
    </font>
    <font>
      <sz val="18"/>
      <color theme="3"/>
      <name val="Arial"/>
      <family val="2"/>
      <scheme val="maj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3"/>
      <name val="Arial"/>
      <family val="2"/>
      <scheme val="minor"/>
    </font>
    <font>
      <b/>
      <sz val="8"/>
      <name val="Arial"/>
      <family val="2"/>
    </font>
    <font>
      <b/>
      <sz val="9"/>
      <color theme="1"/>
      <name val="Arial"/>
      <family val="2"/>
    </font>
    <font>
      <sz val="11"/>
      <color rgb="FF3F3F76"/>
      <name val="Arial"/>
      <family val="2"/>
      <scheme val="minor"/>
    </font>
    <font>
      <b/>
      <sz val="9"/>
      <name val="Arial"/>
      <family val="2"/>
    </font>
    <font>
      <sz val="3"/>
      <color theme="1"/>
      <name val="Arial"/>
      <family val="2"/>
    </font>
    <font>
      <b/>
      <sz val="9"/>
      <color theme="0"/>
      <name val="Arial"/>
      <family val="2"/>
    </font>
    <font>
      <sz val="6"/>
      <color theme="1"/>
      <name val="Arial"/>
      <family val="2"/>
    </font>
    <font>
      <strike/>
      <sz val="1"/>
      <color theme="1"/>
      <name val="Arial"/>
      <family val="2"/>
    </font>
    <font>
      <i/>
      <sz val="11"/>
      <color rgb="FF7F7F7F"/>
      <name val="Arial"/>
      <family val="2"/>
      <scheme val="minor"/>
    </font>
    <font>
      <i/>
      <sz val="8"/>
      <color rgb="FF7F7F7F"/>
      <name val="Arial"/>
      <family val="2"/>
    </font>
    <font>
      <u/>
      <sz val="11"/>
      <color theme="10"/>
      <name val="Arial"/>
      <family val="2"/>
      <scheme val="minor"/>
    </font>
    <font>
      <i/>
      <sz val="9"/>
      <color theme="0" tint="-0.499984740745262"/>
      <name val="Arial"/>
      <family val="2"/>
    </font>
    <font>
      <strike/>
      <sz val="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9"/>
      <color theme="0" tint="-4.9989318521683403E-2"/>
      <name val="Arial"/>
      <family val="2"/>
    </font>
    <font>
      <sz val="11"/>
      <color rgb="FF000000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EF7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</fills>
  <borders count="24">
    <border>
      <left/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/>
      <bottom style="thin">
        <color indexed="64"/>
      </bottom>
      <diagonal/>
    </border>
    <border>
      <left style="thick">
        <color theme="0"/>
      </left>
      <right/>
      <top/>
      <bottom style="hair">
        <color theme="1"/>
      </bottom>
      <diagonal/>
    </border>
    <border>
      <left/>
      <right style="thick">
        <color theme="0"/>
      </right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4">
    <xf numFmtId="0" fontId="0" fillId="0" borderId="0">
      <alignment vertical="center"/>
    </xf>
    <xf numFmtId="0" fontId="5" fillId="2" borderId="1" applyNumberFormat="0" applyProtection="0">
      <alignment horizontal="center" vertical="center" wrapText="1"/>
    </xf>
    <xf numFmtId="0" fontId="11" fillId="4" borderId="0" applyNumberFormat="0" applyAlignment="0" applyProtection="0"/>
    <xf numFmtId="0" fontId="5" fillId="0" borderId="0" applyNumberFormat="0" applyFill="0" applyBorder="0" applyAlignment="0" applyProtection="0"/>
    <xf numFmtId="0" fontId="4" fillId="5" borderId="0" applyNumberFormat="0" applyAlignment="0">
      <protection locked="0"/>
    </xf>
    <xf numFmtId="0" fontId="9" fillId="0" borderId="0" applyNumberFormat="0" applyFill="0" applyBorder="0" applyAlignment="0" applyProtection="0"/>
    <xf numFmtId="0" fontId="3" fillId="3" borderId="0" applyNumberFormat="0" applyBorder="0">
      <alignment vertical="center" shrinkToFit="1"/>
      <protection locked="0"/>
    </xf>
    <xf numFmtId="0" fontId="4" fillId="0" borderId="2" applyNumberFormat="0">
      <alignment vertical="center" wrapText="1"/>
    </xf>
    <xf numFmtId="0" fontId="8" fillId="5" borderId="3" applyNumberFormat="0">
      <alignment vertical="center" shrinkToFit="1"/>
      <protection locked="0"/>
    </xf>
    <xf numFmtId="4" fontId="8" fillId="5" borderId="3">
      <alignment vertical="center" shrinkToFit="1"/>
      <protection locked="0"/>
    </xf>
    <xf numFmtId="49" fontId="8" fillId="5" borderId="3">
      <alignment vertical="center" wrapText="1"/>
      <protection locked="0"/>
    </xf>
    <xf numFmtId="165" fontId="4" fillId="0" borderId="2" applyFont="0" applyFill="0" applyAlignment="0" applyProtection="0"/>
    <xf numFmtId="0" fontId="5" fillId="0" borderId="4" applyNumberFormat="0" applyFill="0" applyAlignment="0" applyProtection="0"/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1" fillId="0" borderId="0"/>
    <xf numFmtId="0" fontId="28" fillId="0" borderId="0" applyNumberFormat="0" applyFill="0" applyBorder="0" applyAlignment="0" applyProtection="0"/>
    <xf numFmtId="49" fontId="8" fillId="5" borderId="3" applyNumberFormat="0">
      <alignment vertical="center" wrapText="1"/>
      <protection locked="0"/>
    </xf>
    <xf numFmtId="0" fontId="31" fillId="7" borderId="17" applyNumberFormat="0" applyAlignment="0" applyProtection="0"/>
    <xf numFmtId="0" fontId="28" fillId="0" borderId="20" applyNumberFormat="0" applyFill="0" applyAlignment="0" applyProtection="0"/>
    <xf numFmtId="0" fontId="37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0" borderId="21" applyNumberFormat="0" applyFill="0" applyAlignment="0" applyProtection="0"/>
  </cellStyleXfs>
  <cellXfs count="128">
    <xf numFmtId="0" fontId="0" fillId="0" borderId="0" xfId="0">
      <alignment vertical="center"/>
    </xf>
    <xf numFmtId="0" fontId="5" fillId="0" borderId="0" xfId="3" applyBorder="1" applyAlignment="1">
      <alignment vertical="center"/>
    </xf>
    <xf numFmtId="0" fontId="6" fillId="0" borderId="0" xfId="0" applyFont="1">
      <alignment vertical="center"/>
    </xf>
    <xf numFmtId="0" fontId="5" fillId="2" borderId="1" xfId="1">
      <alignment horizontal="center" vertical="center" wrapText="1"/>
    </xf>
    <xf numFmtId="0" fontId="0" fillId="0" borderId="0" xfId="0" applyAlignment="1">
      <alignment horizontal="left" vertical="center"/>
    </xf>
    <xf numFmtId="0" fontId="11" fillId="4" borderId="0" xfId="2" applyAlignment="1">
      <alignment vertical="center"/>
    </xf>
    <xf numFmtId="0" fontId="5" fillId="0" borderId="4" xfId="12" applyAlignment="1">
      <alignment vertical="center"/>
    </xf>
    <xf numFmtId="0" fontId="0" fillId="0" borderId="2" xfId="7" applyFont="1" applyAlignment="1">
      <alignment vertical="center"/>
    </xf>
    <xf numFmtId="0" fontId="0" fillId="0" borderId="2" xfId="7" applyFont="1">
      <alignment vertical="center" wrapText="1"/>
    </xf>
    <xf numFmtId="0" fontId="6" fillId="0" borderId="0" xfId="0" applyFont="1" applyAlignment="1">
      <alignment horizontal="left" vertical="center"/>
    </xf>
    <xf numFmtId="0" fontId="8" fillId="5" borderId="3" xfId="8" applyAlignment="1">
      <alignment vertical="center"/>
      <protection locked="0"/>
    </xf>
    <xf numFmtId="0" fontId="4" fillId="0" borderId="2" xfId="7">
      <alignment vertical="center" wrapText="1"/>
    </xf>
    <xf numFmtId="49" fontId="8" fillId="5" borderId="3" xfId="10">
      <alignment vertical="center" wrapText="1"/>
      <protection locked="0"/>
    </xf>
    <xf numFmtId="49" fontId="6" fillId="0" borderId="0" xfId="0" applyNumberFormat="1" applyFont="1">
      <alignment vertical="center"/>
    </xf>
    <xf numFmtId="14" fontId="6" fillId="0" borderId="0" xfId="0" applyNumberFormat="1" applyFont="1">
      <alignment vertical="center"/>
    </xf>
    <xf numFmtId="14" fontId="0" fillId="0" borderId="0" xfId="0" applyNumberFormat="1" applyAlignment="1">
      <alignment horizontal="left" vertical="center"/>
    </xf>
    <xf numFmtId="0" fontId="12" fillId="0" borderId="0" xfId="0" applyFont="1">
      <alignment vertical="center"/>
    </xf>
    <xf numFmtId="49" fontId="8" fillId="0" borderId="2" xfId="7" applyNumberFormat="1" applyFont="1">
      <alignment vertical="center" wrapText="1"/>
    </xf>
    <xf numFmtId="0" fontId="13" fillId="0" borderId="0" xfId="0" applyFont="1">
      <alignment vertical="center"/>
    </xf>
    <xf numFmtId="14" fontId="8" fillId="5" borderId="3" xfId="10" applyNumberFormat="1">
      <alignment vertical="center" wrapText="1"/>
      <protection locked="0"/>
    </xf>
    <xf numFmtId="0" fontId="16" fillId="0" borderId="0" xfId="0" applyFont="1">
      <alignment vertical="center"/>
    </xf>
    <xf numFmtId="49" fontId="0" fillId="0" borderId="9" xfId="0" applyNumberFormat="1" applyBorder="1" applyAlignment="1">
      <alignment vertical="center" wrapText="1"/>
    </xf>
    <xf numFmtId="0" fontId="5" fillId="2" borderId="1" xfId="1" applyAlignment="1">
      <alignment horizontal="left" vertical="center" wrapText="1"/>
    </xf>
    <xf numFmtId="164" fontId="5" fillId="0" borderId="0" xfId="12" applyNumberFormat="1" applyBorder="1" applyAlignment="1">
      <alignment horizontal="left" vertical="center"/>
    </xf>
    <xf numFmtId="0" fontId="0" fillId="0" borderId="2" xfId="7" applyFont="1" applyAlignment="1">
      <alignment horizontal="center" vertical="center"/>
    </xf>
    <xf numFmtId="0" fontId="0" fillId="0" borderId="2" xfId="7" applyFont="1" applyAlignment="1">
      <alignment horizontal="center" vertical="center" shrinkToFit="1"/>
    </xf>
    <xf numFmtId="0" fontId="17" fillId="0" borderId="0" xfId="13" applyAlignment="1">
      <alignment vertical="center"/>
    </xf>
    <xf numFmtId="0" fontId="6" fillId="0" borderId="12" xfId="0" applyFont="1" applyBorder="1">
      <alignment vertical="center"/>
    </xf>
    <xf numFmtId="0" fontId="0" fillId="0" borderId="12" xfId="0" applyBorder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12" xfId="0" applyBorder="1" applyAlignment="1">
      <alignment horizontal="left" vertical="center"/>
    </xf>
    <xf numFmtId="0" fontId="5" fillId="0" borderId="12" xfId="0" applyFont="1" applyBorder="1">
      <alignment vertical="center"/>
    </xf>
    <xf numFmtId="0" fontId="13" fillId="0" borderId="13" xfId="0" applyFont="1" applyBorder="1">
      <alignment vertical="center"/>
    </xf>
    <xf numFmtId="0" fontId="13" fillId="0" borderId="4" xfId="0" applyFont="1" applyBorder="1">
      <alignment vertical="center"/>
    </xf>
    <xf numFmtId="0" fontId="19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5" xfId="1" applyBorder="1">
      <alignment horizontal="center" vertical="center" wrapText="1"/>
    </xf>
    <xf numFmtId="0" fontId="5" fillId="2" borderId="6" xfId="1" applyBorder="1">
      <alignment horizontal="center" vertical="center" wrapText="1"/>
    </xf>
    <xf numFmtId="49" fontId="4" fillId="5" borderId="0" xfId="4" applyNumberFormat="1" applyAlignment="1">
      <alignment vertical="center" shrinkToFit="1"/>
      <protection locked="0"/>
    </xf>
    <xf numFmtId="49" fontId="8" fillId="5" borderId="7" xfId="10" applyBorder="1">
      <alignment vertical="center" wrapText="1"/>
      <protection locked="0"/>
    </xf>
    <xf numFmtId="49" fontId="8" fillId="5" borderId="8" xfId="10" applyBorder="1">
      <alignment vertical="center" wrapText="1"/>
      <protection locked="0"/>
    </xf>
    <xf numFmtId="0" fontId="0" fillId="0" borderId="0" xfId="0" applyAlignment="1">
      <alignment vertical="center" wrapText="1"/>
    </xf>
    <xf numFmtId="0" fontId="9" fillId="0" borderId="0" xfId="5" applyAlignment="1">
      <alignment vertical="center"/>
    </xf>
    <xf numFmtId="0" fontId="1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8" fillId="6" borderId="3" xfId="10" applyFill="1" applyProtection="1">
      <alignment vertical="center" wrapText="1"/>
    </xf>
    <xf numFmtId="0" fontId="2" fillId="0" borderId="0" xfId="0" applyFont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0" fillId="0" borderId="0" xfId="5" applyFont="1" applyAlignment="1">
      <alignment vertical="center"/>
    </xf>
    <xf numFmtId="49" fontId="21" fillId="5" borderId="15" xfId="10" applyFont="1" applyBorder="1">
      <alignment vertical="center" wrapText="1"/>
      <protection locked="0"/>
    </xf>
    <xf numFmtId="0" fontId="22" fillId="0" borderId="0" xfId="0" applyFont="1">
      <alignment vertical="center"/>
    </xf>
    <xf numFmtId="49" fontId="21" fillId="5" borderId="16" xfId="10" applyFont="1" applyBorder="1">
      <alignment vertical="center" wrapText="1"/>
      <protection locked="0"/>
    </xf>
    <xf numFmtId="166" fontId="8" fillId="5" borderId="3" xfId="9" applyNumberFormat="1">
      <alignment vertical="center" shrinkToFit="1"/>
      <protection locked="0"/>
    </xf>
    <xf numFmtId="49" fontId="21" fillId="0" borderId="16" xfId="10" applyFont="1" applyFill="1" applyBorder="1" applyProtection="1">
      <alignment vertical="center" wrapText="1"/>
    </xf>
    <xf numFmtId="49" fontId="21" fillId="0" borderId="15" xfId="10" applyFont="1" applyFill="1" applyBorder="1" applyProtection="1">
      <alignment vertical="center" wrapText="1"/>
    </xf>
    <xf numFmtId="7" fontId="0" fillId="0" borderId="2" xfId="11" applyNumberFormat="1" applyFont="1" applyAlignment="1">
      <alignment vertical="center"/>
    </xf>
    <xf numFmtId="7" fontId="5" fillId="0" borderId="4" xfId="12" applyNumberFormat="1" applyAlignment="1">
      <alignment vertical="center"/>
    </xf>
    <xf numFmtId="49" fontId="4" fillId="0" borderId="0" xfId="4" applyNumberFormat="1" applyFill="1" applyAlignment="1" applyProtection="1">
      <alignment vertical="center" shrinkToFit="1"/>
    </xf>
    <xf numFmtId="164" fontId="5" fillId="0" borderId="0" xfId="12" applyNumberFormat="1" applyFill="1" applyBorder="1" applyAlignment="1" applyProtection="1">
      <alignment horizontal="left" vertical="center"/>
    </xf>
    <xf numFmtId="0" fontId="22" fillId="0" borderId="0" xfId="16" applyFont="1"/>
    <xf numFmtId="0" fontId="26" fillId="0" borderId="0" xfId="16" applyFont="1" applyAlignment="1">
      <alignment vertical="center"/>
    </xf>
    <xf numFmtId="0" fontId="29" fillId="0" borderId="0" xfId="17" applyFont="1" applyBorder="1" applyAlignment="1" applyProtection="1">
      <alignment vertical="center" wrapText="1"/>
    </xf>
    <xf numFmtId="0" fontId="22" fillId="0" borderId="0" xfId="16" applyFont="1" applyAlignment="1">
      <alignment vertical="center"/>
    </xf>
    <xf numFmtId="0" fontId="32" fillId="0" borderId="19" xfId="12" applyFont="1" applyBorder="1" applyAlignment="1" applyProtection="1">
      <alignment vertical="center"/>
    </xf>
    <xf numFmtId="0" fontId="33" fillId="0" borderId="0" xfId="16" applyFont="1" applyAlignment="1">
      <alignment vertical="center"/>
    </xf>
    <xf numFmtId="0" fontId="21" fillId="0" borderId="18" xfId="16" applyFont="1" applyBorder="1" applyAlignment="1">
      <alignment vertical="center"/>
    </xf>
    <xf numFmtId="0" fontId="35" fillId="0" borderId="0" xfId="16" applyFont="1" applyAlignment="1">
      <alignment vertical="center"/>
    </xf>
    <xf numFmtId="0" fontId="36" fillId="0" borderId="0" xfId="16" applyFont="1" applyAlignment="1">
      <alignment vertical="center"/>
    </xf>
    <xf numFmtId="0" fontId="38" fillId="0" borderId="0" xfId="21" applyFont="1" applyAlignment="1" applyProtection="1">
      <alignment vertical="center"/>
    </xf>
    <xf numFmtId="0" fontId="21" fillId="0" borderId="18" xfId="16" applyFont="1" applyBorder="1"/>
    <xf numFmtId="0" fontId="6" fillId="0" borderId="0" xfId="16" applyFont="1" applyAlignment="1">
      <alignment vertical="center"/>
    </xf>
    <xf numFmtId="0" fontId="22" fillId="0" borderId="4" xfId="16" applyFont="1" applyBorder="1" applyAlignment="1">
      <alignment vertical="center"/>
    </xf>
    <xf numFmtId="0" fontId="41" fillId="0" borderId="0" xfId="16" applyFont="1" applyAlignment="1">
      <alignment vertical="center"/>
    </xf>
    <xf numFmtId="0" fontId="1" fillId="0" borderId="0" xfId="16"/>
    <xf numFmtId="49" fontId="25" fillId="0" borderId="0" xfId="19" applyNumberFormat="1" applyFont="1" applyFill="1" applyBorder="1" applyAlignment="1" applyProtection="1">
      <alignment horizontal="center" vertical="top" wrapText="1" shrinkToFit="1"/>
    </xf>
    <xf numFmtId="0" fontId="30" fillId="0" borderId="18" xfId="16" applyFont="1" applyBorder="1" applyAlignment="1">
      <alignment vertical="top"/>
    </xf>
    <xf numFmtId="0" fontId="44" fillId="0" borderId="0" xfId="16" applyFont="1" applyAlignment="1">
      <alignment horizontal="left" vertical="center" readingOrder="1"/>
    </xf>
    <xf numFmtId="0" fontId="45" fillId="0" borderId="0" xfId="16" applyFont="1" applyAlignment="1">
      <alignment vertical="center"/>
    </xf>
    <xf numFmtId="0" fontId="38" fillId="0" borderId="22" xfId="21" applyFont="1" applyBorder="1" applyAlignment="1" applyProtection="1">
      <alignment vertical="center"/>
    </xf>
    <xf numFmtId="0" fontId="22" fillId="0" borderId="23" xfId="16" applyFont="1" applyBorder="1"/>
    <xf numFmtId="0" fontId="21" fillId="0" borderId="0" xfId="16" applyFont="1"/>
    <xf numFmtId="0" fontId="32" fillId="0" borderId="4" xfId="12" applyFont="1" applyAlignment="1" applyProtection="1">
      <alignment vertical="center"/>
    </xf>
    <xf numFmtId="166" fontId="32" fillId="0" borderId="4" xfId="12" applyNumberFormat="1" applyFont="1" applyAlignment="1" applyProtection="1">
      <alignment vertical="center"/>
    </xf>
    <xf numFmtId="0" fontId="22" fillId="0" borderId="4" xfId="16" applyFont="1" applyBorder="1"/>
    <xf numFmtId="0" fontId="21" fillId="0" borderId="0" xfId="16" applyFont="1" applyAlignment="1">
      <alignment vertical="center"/>
    </xf>
    <xf numFmtId="0" fontId="41" fillId="0" borderId="0" xfId="16" applyFont="1" applyAlignment="1">
      <alignment horizontal="left" vertical="center"/>
    </xf>
    <xf numFmtId="0" fontId="30" fillId="0" borderId="4" xfId="12" applyFont="1" applyAlignment="1" applyProtection="1">
      <alignment vertical="center"/>
    </xf>
    <xf numFmtId="166" fontId="32" fillId="0" borderId="4" xfId="12" applyNumberFormat="1" applyFont="1" applyFill="1" applyAlignment="1" applyProtection="1">
      <alignment vertical="center"/>
    </xf>
    <xf numFmtId="0" fontId="32" fillId="2" borderId="18" xfId="23" applyFont="1" applyFill="1" applyBorder="1" applyAlignment="1" applyProtection="1">
      <alignment horizontal="left" vertical="center" wrapText="1"/>
    </xf>
    <xf numFmtId="0" fontId="32" fillId="0" borderId="0" xfId="23" applyFont="1" applyFill="1" applyBorder="1" applyAlignment="1" applyProtection="1">
      <alignment horizontal="center" vertical="center" wrapText="1"/>
    </xf>
    <xf numFmtId="0" fontId="5" fillId="2" borderId="0" xfId="1" applyBorder="1" applyAlignment="1">
      <alignment horizontal="left" vertical="center" wrapText="1"/>
    </xf>
    <xf numFmtId="14" fontId="4" fillId="0" borderId="0" xfId="4" applyNumberFormat="1" applyFill="1" applyAlignment="1" applyProtection="1">
      <alignment horizontal="left" vertical="center" shrinkToFit="1"/>
    </xf>
    <xf numFmtId="0" fontId="34" fillId="0" borderId="0" xfId="20" applyFont="1" applyFill="1" applyBorder="1" applyAlignment="1" applyProtection="1">
      <alignment vertical="center"/>
    </xf>
    <xf numFmtId="0" fontId="43" fillId="0" borderId="0" xfId="20" applyFont="1" applyFill="1" applyBorder="1" applyAlignment="1" applyProtection="1">
      <alignment vertical="center"/>
    </xf>
    <xf numFmtId="0" fontId="34" fillId="4" borderId="18" xfId="20" applyFont="1" applyFill="1" applyBorder="1" applyAlignment="1" applyProtection="1">
      <alignment vertical="center"/>
    </xf>
    <xf numFmtId="0" fontId="34" fillId="4" borderId="0" xfId="20" applyFont="1" applyFill="1" applyBorder="1" applyAlignment="1" applyProtection="1">
      <alignment vertical="center"/>
    </xf>
    <xf numFmtId="0" fontId="43" fillId="4" borderId="0" xfId="20" applyFont="1" applyFill="1" applyBorder="1" applyAlignment="1" applyProtection="1">
      <alignment vertical="center"/>
    </xf>
    <xf numFmtId="0" fontId="32" fillId="4" borderId="0" xfId="20" applyFont="1" applyFill="1" applyBorder="1" applyAlignment="1" applyProtection="1">
      <alignment vertical="center"/>
    </xf>
    <xf numFmtId="0" fontId="0" fillId="0" borderId="0" xfId="0">
      <alignment vertical="center"/>
    </xf>
    <xf numFmtId="0" fontId="13" fillId="0" borderId="0" xfId="0" applyFont="1" applyBorder="1">
      <alignment vertical="center"/>
    </xf>
    <xf numFmtId="0" fontId="0" fillId="0" borderId="0" xfId="0" applyBorder="1">
      <alignment vertical="center"/>
    </xf>
    <xf numFmtId="49" fontId="8" fillId="0" borderId="3" xfId="10" applyFill="1">
      <alignment vertical="center" wrapText="1"/>
      <protection locked="0"/>
    </xf>
    <xf numFmtId="49" fontId="4" fillId="5" borderId="0" xfId="4" applyNumberFormat="1" applyAlignment="1">
      <alignment vertical="center" wrapText="1"/>
      <protection locked="0"/>
    </xf>
    <xf numFmtId="0" fontId="0" fillId="0" borderId="0" xfId="0">
      <alignment vertical="center"/>
    </xf>
    <xf numFmtId="0" fontId="17" fillId="0" borderId="0" xfId="14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1" xfId="0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4" fillId="5" borderId="0" xfId="4" applyNumberFormat="1" applyAlignment="1">
      <alignment horizontal="left" vertical="center" shrinkToFit="1"/>
      <protection locked="0"/>
    </xf>
    <xf numFmtId="49" fontId="4" fillId="5" borderId="0" xfId="4" applyNumberFormat="1" applyAlignment="1">
      <alignment horizontal="left" vertical="center" shrinkToFit="1"/>
      <protection locked="0"/>
    </xf>
    <xf numFmtId="49" fontId="4" fillId="0" borderId="0" xfId="4" applyNumberFormat="1" applyFill="1" applyAlignment="1" applyProtection="1">
      <alignment vertical="center" wrapText="1"/>
    </xf>
    <xf numFmtId="14" fontId="4" fillId="0" borderId="0" xfId="4" applyNumberFormat="1" applyFill="1" applyAlignment="1" applyProtection="1">
      <alignment horizontal="left" vertical="center" shrinkToFit="1"/>
    </xf>
    <xf numFmtId="49" fontId="4" fillId="0" borderId="0" xfId="4" applyNumberFormat="1" applyFill="1" applyAlignment="1" applyProtection="1">
      <alignment horizontal="left" vertical="center" shrinkToFit="1"/>
    </xf>
    <xf numFmtId="0" fontId="4" fillId="0" borderId="0" xfId="4" applyNumberFormat="1" applyFill="1" applyAlignment="1" applyProtection="1">
      <alignment horizontal="left" vertical="center" shrinkToFit="1"/>
    </xf>
    <xf numFmtId="0" fontId="40" fillId="0" borderId="18" xfId="21" applyFont="1" applyBorder="1" applyAlignment="1" applyProtection="1">
      <alignment horizontal="left" vertical="center"/>
    </xf>
    <xf numFmtId="0" fontId="40" fillId="0" borderId="0" xfId="21" applyFont="1" applyBorder="1" applyAlignment="1" applyProtection="1">
      <alignment horizontal="left" vertical="center"/>
    </xf>
    <xf numFmtId="0" fontId="17" fillId="0" borderId="0" xfId="14" applyFill="1" applyBorder="1" applyAlignment="1" applyProtection="1">
      <alignment horizontal="left" vertical="top" wrapText="1"/>
    </xf>
    <xf numFmtId="0" fontId="17" fillId="0" borderId="0" xfId="22" applyFont="1" applyFill="1" applyBorder="1" applyAlignment="1" applyProtection="1">
      <alignment horizontal="left" vertical="top" wrapText="1"/>
    </xf>
    <xf numFmtId="0" fontId="46" fillId="0" borderId="11" xfId="15" applyFont="1" applyBorder="1" applyAlignment="1" applyProtection="1">
      <alignment horizontal="left" vertical="center" wrapText="1"/>
    </xf>
    <xf numFmtId="0" fontId="46" fillId="0" borderId="10" xfId="15" applyFont="1" applyBorder="1" applyAlignment="1" applyProtection="1">
      <alignment horizontal="left" vertical="center" wrapText="1"/>
    </xf>
    <xf numFmtId="0" fontId="46" fillId="0" borderId="14" xfId="15" applyFont="1" applyBorder="1" applyAlignment="1" applyProtection="1">
      <alignment horizontal="left" vertical="center" wrapText="1"/>
    </xf>
    <xf numFmtId="0" fontId="26" fillId="0" borderId="0" xfId="16" applyFont="1" applyAlignment="1">
      <alignment vertical="center" wrapText="1"/>
    </xf>
    <xf numFmtId="0" fontId="27" fillId="0" borderId="0" xfId="16" applyFont="1" applyAlignment="1">
      <alignment horizontal="left" vertical="top" wrapText="1"/>
    </xf>
    <xf numFmtId="0" fontId="26" fillId="0" borderId="0" xfId="16" applyFont="1" applyAlignment="1">
      <alignment horizontal="left" vertical="top" wrapText="1"/>
    </xf>
    <xf numFmtId="49" fontId="4" fillId="0" borderId="0" xfId="4" applyNumberFormat="1" applyFill="1" applyAlignment="1" applyProtection="1">
      <alignment horizontal="left" vertical="center" wrapText="1"/>
    </xf>
    <xf numFmtId="0" fontId="11" fillId="4" borderId="0" xfId="2" applyAlignment="1">
      <alignment vertical="center" wrapText="1"/>
    </xf>
  </cellXfs>
  <cellStyles count="24">
    <cellStyle name="Beschriftung" xfId="7" xr:uid="{120F6917-B2C1-4F6B-9646-B5A96121CEF4}"/>
    <cellStyle name="Eingabe" xfId="4" builtinId="20" customBuiltin="1"/>
    <cellStyle name="Eingabe 2" xfId="19" xr:uid="{BB20C618-BD3F-41BF-8B9A-A380D3254DC7}"/>
    <cellStyle name="Eingabe Betrag" xfId="9" xr:uid="{68CB16B8-6DA5-42A1-84E5-39E90168F740}"/>
    <cellStyle name="Eingabe Tabelle" xfId="10" xr:uid="{5BD8CE45-D393-420E-8526-679D86EA0F5C}"/>
    <cellStyle name="Eingabe Tabelle 2" xfId="18" xr:uid="{98609338-030E-4C4C-A663-F5BAE6C26763}"/>
    <cellStyle name="Eingabe Zahl" xfId="8" xr:uid="{603E6764-6360-4DD1-8752-56F46C296D5D}"/>
    <cellStyle name="Ergebniszeile" xfId="12" xr:uid="{AB4C0D28-4272-4364-9D2F-50E481C70265}"/>
    <cellStyle name="Erklärender Text" xfId="5" builtinId="53" customBuiltin="1"/>
    <cellStyle name="Erklärender Text 2" xfId="21" xr:uid="{3D401DF7-15FB-4196-AEF4-D27A0BE3B95F}"/>
    <cellStyle name="Hyperlink" xfId="13" xr:uid="{00000000-000B-0000-0000-000008000000}"/>
    <cellStyle name="Input" xfId="6" xr:uid="{754091FF-9CA0-4E74-862A-15D63D501428}"/>
    <cellStyle name="Link" xfId="14" builtinId="8"/>
    <cellStyle name="Link 2" xfId="22" xr:uid="{FF0C8FCC-99F0-4E54-B2F6-5CF371EA0531}"/>
    <cellStyle name="Standard" xfId="0" builtinId="0" customBuiltin="1"/>
    <cellStyle name="Standard 2" xfId="16" xr:uid="{C8F3CD96-12F5-482C-AE42-F6764C0B2115}"/>
    <cellStyle name="Tabelle Zahl" xfId="11" xr:uid="{37D0CFB5-2ABE-412E-9C51-F747FCA30F4B}"/>
    <cellStyle name="Überschrift" xfId="15" builtinId="15"/>
    <cellStyle name="Überschrift 2" xfId="1" builtinId="17" customBuiltin="1"/>
    <cellStyle name="Überschrift 2 2" xfId="23" xr:uid="{CA768AC6-9617-4B2B-ACCC-0DCDB544DD62}"/>
    <cellStyle name="Überschrift 3" xfId="2" builtinId="18" customBuiltin="1"/>
    <cellStyle name="Überschrift 3 2" xfId="20" xr:uid="{DAAC4259-90DA-44F9-9778-C339B2E84BEF}"/>
    <cellStyle name="Überschrift 4" xfId="3" builtinId="19" customBuiltin="1"/>
    <cellStyle name="Überschrift 4 2" xfId="17" xr:uid="{02B47BD5-25E4-4018-8B79-3A2884C8CF8F}"/>
  </cellStyles>
  <dxfs count="0"/>
  <tableStyles count="0" defaultTableStyle="TableStyleMedium2" defaultPivotStyle="PivotStyleLight16"/>
  <colors>
    <mruColors>
      <color rgb="FFFEF7E6"/>
      <color rgb="FFFFF9EB"/>
      <color rgb="FFFFEDC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90637</xdr:colOff>
      <xdr:row>0</xdr:row>
      <xdr:rowOff>0</xdr:rowOff>
    </xdr:from>
    <xdr:to>
      <xdr:col>6</xdr:col>
      <xdr:colOff>1903297</xdr:colOff>
      <xdr:row>0</xdr:row>
      <xdr:rowOff>847725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82B4EDE-9752-4116-9031-98CFB57D8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4" r="3564"/>
        <a:stretch/>
      </xdr:blipFill>
      <xdr:spPr>
        <a:xfrm>
          <a:off x="7403720" y="0"/>
          <a:ext cx="1888860" cy="847725"/>
        </a:xfrm>
        <a:prstGeom prst="rect">
          <a:avLst/>
        </a:prstGeom>
      </xdr:spPr>
    </xdr:pic>
    <xdr:clientData/>
  </xdr:twoCellAnchor>
  <xdr:twoCellAnchor>
    <xdr:from>
      <xdr:col>8</xdr:col>
      <xdr:colOff>104774</xdr:colOff>
      <xdr:row>4</xdr:row>
      <xdr:rowOff>19050</xdr:rowOff>
    </xdr:from>
    <xdr:to>
      <xdr:col>16</xdr:col>
      <xdr:colOff>85724</xdr:colOff>
      <xdr:row>7</xdr:row>
      <xdr:rowOff>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11996EDF-E7EF-47C7-890F-2C9FCCEC75D2}"/>
            </a:ext>
          </a:extLst>
        </xdr:cNvPr>
        <xdr:cNvSpPr txBox="1"/>
      </xdr:nvSpPr>
      <xdr:spPr>
        <a:xfrm>
          <a:off x="8105774" y="1162050"/>
          <a:ext cx="671512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Nicht benötigte Kostenpositionen sind ausgeblendet</a:t>
          </a:r>
          <a:endParaRPr lang="de-DE" b="1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Die Kostenpositionen bitte über den + - Button in der linken Leiste einblenden.</a:t>
          </a:r>
          <a:endParaRPr lang="de-DE" b="1">
            <a:effectLst/>
          </a:endParaRPr>
        </a:p>
        <a:p>
          <a:endParaRPr lang="de-DE" sz="1100"/>
        </a:p>
      </xdr:txBody>
    </xdr:sp>
    <xdr:clientData/>
  </xdr:twoCellAnchor>
  <xdr:twoCellAnchor>
    <xdr:from>
      <xdr:col>8</xdr:col>
      <xdr:colOff>116541</xdr:colOff>
      <xdr:row>8</xdr:row>
      <xdr:rowOff>35862</xdr:rowOff>
    </xdr:from>
    <xdr:to>
      <xdr:col>16</xdr:col>
      <xdr:colOff>135591</xdr:colOff>
      <xdr:row>59</xdr:row>
      <xdr:rowOff>26894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EF8E4D98-F45A-4A26-81A9-AD8C08CAA911}"/>
            </a:ext>
            <a:ext uri="{147F2762-F138-4A5C-976F-8EAC2B608ADB}">
              <a16:predDERef xmlns:a16="http://schemas.microsoft.com/office/drawing/2014/main" pred="{65249505-DBB2-6D6A-0D77-87A0F5AF0B88}"/>
            </a:ext>
          </a:extLst>
        </xdr:cNvPr>
        <xdr:cNvSpPr txBox="1"/>
      </xdr:nvSpPr>
      <xdr:spPr>
        <a:xfrm>
          <a:off x="8839200" y="1900521"/>
          <a:ext cx="6150909" cy="7485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eaLnBrk="1" fontAlgn="auto" latinLnBrk="0" hangingPunct="1"/>
          <a:r>
            <a:rPr lang="de-DE" sz="1100" b="1">
              <a:effectLst/>
              <a:latin typeface="+mn-lt"/>
              <a:ea typeface="+mn-ea"/>
              <a:cs typeface="+mn-cs"/>
            </a:rPr>
            <a:t>Bitte geben Sie Ihr preisliches Angebot für die Hauptleistung im ersten Tabellenreiter </a:t>
          </a:r>
          <a:r>
            <a:rPr lang="de-DE" sz="1100" b="1" i="1">
              <a:effectLst/>
              <a:latin typeface="+mn-lt"/>
              <a:ea typeface="+mn-ea"/>
              <a:cs typeface="+mn-cs"/>
            </a:rPr>
            <a:t>„Preisblatt | Leistung“</a:t>
          </a:r>
          <a:r>
            <a:rPr lang="de-DE" sz="1100" b="1">
              <a:effectLst/>
              <a:latin typeface="+mn-lt"/>
              <a:ea typeface="+mn-ea"/>
              <a:cs typeface="+mn-cs"/>
            </a:rPr>
            <a:t> ein. Ihr Preisangebot für die optionalen Leistungen geben Sie bitte im Tabellenreiter </a:t>
          </a:r>
          <a:r>
            <a:rPr lang="de-DE" sz="1100" b="1" i="1">
              <a:effectLst/>
              <a:latin typeface="+mn-lt"/>
              <a:ea typeface="+mn-ea"/>
              <a:cs typeface="+mn-cs"/>
            </a:rPr>
            <a:t>„Preisblatt | opt. Leistung“</a:t>
          </a:r>
          <a:r>
            <a:rPr lang="de-DE" sz="1100" b="1">
              <a:effectLst/>
              <a:latin typeface="+mn-lt"/>
              <a:ea typeface="+mn-ea"/>
              <a:cs typeface="+mn-cs"/>
            </a:rPr>
            <a:t> ein. Der Reiter „</a:t>
          </a:r>
          <a:r>
            <a:rPr lang="de-DE" sz="1100" b="1" i="1">
              <a:effectLst/>
              <a:latin typeface="+mn-lt"/>
              <a:ea typeface="+mn-ea"/>
              <a:cs typeface="+mn-cs"/>
            </a:rPr>
            <a:t>Summe Leistung + opt. Leist.</a:t>
          </a:r>
          <a:r>
            <a:rPr lang="de-DE" sz="1100" b="1">
              <a:effectLst/>
              <a:latin typeface="+mn-lt"/>
              <a:ea typeface="+mn-ea"/>
              <a:cs typeface="+mn-cs"/>
            </a:rPr>
            <a:t>“ bildet automatisch die Summe zur Ermittlung des Gesamtauftragswertes.</a:t>
          </a:r>
          <a:endParaRPr lang="de-DE">
            <a:effectLst/>
          </a:endParaRPr>
        </a:p>
        <a:p>
          <a:pPr marL="180000" indent="-180000" algn="l"/>
          <a:endParaRPr lang="en-GB" sz="1100">
            <a:latin typeface="+mn-lt"/>
            <a:ea typeface="+mn-lt"/>
            <a:cs typeface="+mn-lt"/>
          </a:endParaRPr>
        </a:p>
        <a:p>
          <a:pPr marL="0" marR="0" lvl="0" indent="-22680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>
              <a:tab pos="226800" algn="l"/>
            </a:tabLst>
            <a:defRPr/>
          </a:pPr>
          <a:r>
            <a:rPr lang="en-GB" sz="1100" b="1">
              <a:latin typeface="+mn-lt"/>
              <a:ea typeface="+mn-lt"/>
              <a:cs typeface="+mn-lt"/>
            </a:rPr>
            <a:t>1.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lt"/>
              <a:cs typeface="Arial" panose="020B0604020202020204"/>
            </a:rPr>
            <a:t>	Festpreise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sind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lt"/>
              <a:cs typeface="Arial" panose="020B0604020202020204"/>
            </a:rPr>
            <a:t> nur für Werkverträge anzugeben; dabei ist nach Milestones /</a:t>
          </a:r>
          <a:b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lt"/>
              <a:cs typeface="Arial" panose="020B0604020202020204"/>
            </a:rPr>
          </a:b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lt"/>
              <a:cs typeface="Arial" panose="020B0604020202020204"/>
            </a:rPr>
            <a:t>	Teilabnahmen zu kalkulieren.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lt"/>
            <a:cs typeface="Arial" panose="020B0604020202020204"/>
          </a:endParaRPr>
        </a:p>
        <a:p>
          <a:pPr marL="180000" marR="0" lvl="0" indent="-1800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2.1 Honorare Tagessatz (Ziffer 3.3.1 AVB)</a:t>
          </a:r>
          <a:endParaRPr kumimoji="0" lang="de-DE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-2268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>
              <a:tab pos="226800" algn="l"/>
            </a:tabLst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zum Nachweis der Durchführung sind Zeitnachweise einzureichen, die Vergütung erfolgt 	pauschal / Tag bzw. Stunde;</a:t>
          </a: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-2268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>
              <a:tab pos="226800" algn="l"/>
            </a:tabLst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Sollte nach FK-Stunden abgerechnet werden, ist dies in den Erläuterungen aufzunehmen;</a:t>
          </a: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-2268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>
              <a:tab pos="226800" algn="l"/>
            </a:tabLst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Fachkräftepools werden nach Kategorie bepreist; keine namentliche Nennung der</a:t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	Fachkräftepools (N.N.=nicht namentlich benannt);</a:t>
          </a: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-2268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>
              <a:tab pos="226800" algn="l"/>
            </a:tabLst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Namentliche Nennung der Schlüsselexperten (SFK) in der Liste Schlüsselfachkräfte</a:t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	(Tabellenblatt 2).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80000" marR="0" lvl="0" indent="-1800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2.2 Auftragsbedingte Kosten im Einsatzland (Ziffer 3.3.2 AVB)</a:t>
          </a:r>
          <a:endParaRPr kumimoji="0" lang="de-DE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>
              <a:tab pos="226800" algn="l"/>
            </a:tabLst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	diese Zeile ist für US/KV regelmäßig ausgeblendet. Sollte sie ausnahmsweise notwendig 	sein, sollten die entsprechenden Zeilen eingeblendet werden;</a:t>
          </a: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>
              <a:tab pos="226800" algn="l"/>
            </a:tabLst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	Ab einem zusammenhängenden auftragsbedingten Aufenthalt im Einsatzland von mehr als 	drei Monaten kann der Auftragnehmer nach Bestätigung der Auftraggeberin die im Ausland 	entstehenden Kosten im Rahmen einer Kostenpauschale abrechnen.</a:t>
          </a: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>
              <a:tab pos="226800" algn="l"/>
            </a:tabLst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	Weitere Informationen hierzu sind Ziffer 3.3.2 AVB zu entnehmen.</a:t>
          </a: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lt"/>
            <a:cs typeface="Arial" panose="020B0604020202020204"/>
          </a:endParaRPr>
        </a:p>
        <a:p>
          <a:pPr marL="0" marR="0" lvl="0" indent="-2268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>
              <a:tab pos="226800" algn="l"/>
            </a:tabLst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3.	Reisekosten (Ziffer 3.3.4 AVB)</a:t>
          </a: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-2268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>
              <a:tab pos="226800" algn="l"/>
            </a:tabLst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Ein Gesamtreisekostenbudget kann angeboten oder vorab durch die GIZ festgelegt werden. 	Darin enthalten sein können Pauschalen für TG / ÜK in Anwendung der RK-RL und</a:t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	Flugkosten gegen Nachweis. Eine Mischkalkulation aus Gesamtreisekostenbudget und</a:t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	vorgegebenen Reisekosten-Positionen sind nicht möglich;</a:t>
          </a: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-2268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>
              <a:tab pos="226800" algn="l"/>
            </a:tabLst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Um pauschal abrechnen zu können, muss die Anzahl der Flüge und Preis je Position 	angegeben werden. Die Vorgabe eines Gesamtbudgets für Reisekosten erfordert eine 	Abrechnung gegen Nachweis;</a:t>
          </a: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-2268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>
              <a:tab pos="226800" algn="l"/>
            </a:tabLst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TG und ÜK: wird für Reisen in verschiedene Länder ein Budget für TG/ÜK hinterlegt, 	müssen in den Erläuterungen die Einzelansätze für die jeweiligen Länder laut 	Reisekostenrichtlinie hinterlegt werden;</a:t>
          </a: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-2268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>
              <a:tab pos="226800" algn="l"/>
            </a:tabLst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Sonstige Reisekosten: darin enthalten sind bspw. Visa; hier können Pauschalen bei</a:t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	entsprechender Begründung der Position vereinbart werden.</a:t>
          </a: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lt"/>
            <a:cs typeface="Arial" panose="020B0604020202020204"/>
          </a:endParaRPr>
        </a:p>
        <a:p>
          <a:pPr marL="0" marR="0" lvl="0" indent="-2268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>
              <a:tab pos="226800" algn="l"/>
            </a:tabLst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4. Andere Kosten  (Ziffer 3.3.5 AVB)</a:t>
          </a:r>
          <a:endParaRPr kumimoji="0" lang="de-DE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-2268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>
              <a:tab pos="226800" algn="l"/>
            </a:tabLst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Ausrüstungsgüter (Ziffer 3.3.5.2 AVB): Ausrüstungsgüter werden im Rahmen der</a:t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	Auftragserfüllung nach den vertraglichen Vorgaben an die Partnerinstitution im Einsatzland</a:t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	übergeben. Daher ist eine Vergütungsposition erforderlich, die die vertraglichen</a:t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	Bedingungen ergänzt;</a:t>
          </a: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-2268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>
              <a:tab pos="226800" algn="l"/>
            </a:tabLst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Sonstige Kosten müssen im Preisangebot aufgeschlüsselt werden.</a:t>
          </a:r>
          <a:endParaRPr lang="en-GB" sz="1100"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952</xdr:colOff>
      <xdr:row>0</xdr:row>
      <xdr:rowOff>0</xdr:rowOff>
    </xdr:from>
    <xdr:to>
      <xdr:col>6</xdr:col>
      <xdr:colOff>1894225</xdr:colOff>
      <xdr:row>0</xdr:row>
      <xdr:rowOff>854981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5FB011F-6A1A-4C02-9F91-E090AC6C9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2" r="3582"/>
        <a:stretch/>
      </xdr:blipFill>
      <xdr:spPr>
        <a:xfrm>
          <a:off x="7303029" y="0"/>
          <a:ext cx="1904279" cy="854981"/>
        </a:xfrm>
        <a:prstGeom prst="rect">
          <a:avLst/>
        </a:prstGeom>
      </xdr:spPr>
    </xdr:pic>
    <xdr:clientData/>
  </xdr:twoCellAnchor>
  <xdr:twoCellAnchor>
    <xdr:from>
      <xdr:col>8</xdr:col>
      <xdr:colOff>114300</xdr:colOff>
      <xdr:row>8</xdr:row>
      <xdr:rowOff>47627</xdr:rowOff>
    </xdr:from>
    <xdr:to>
      <xdr:col>16</xdr:col>
      <xdr:colOff>133350</xdr:colOff>
      <xdr:row>59</xdr:row>
      <xdr:rowOff>76200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B228D1C1-8C6B-4C21-BFA6-37F9D825CAAD}"/>
            </a:ext>
            <a:ext uri="{147F2762-F138-4A5C-976F-8EAC2B608ADB}">
              <a16:predDERef xmlns:a16="http://schemas.microsoft.com/office/drawing/2014/main" pred="{65249505-DBB2-6D6A-0D77-87A0F5AF0B88}"/>
            </a:ext>
          </a:extLst>
        </xdr:cNvPr>
        <xdr:cNvSpPr txBox="1"/>
      </xdr:nvSpPr>
      <xdr:spPr>
        <a:xfrm>
          <a:off x="8818033" y="1901827"/>
          <a:ext cx="6165850" cy="74707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>
              <a:effectLst/>
              <a:latin typeface="+mn-lt"/>
              <a:ea typeface="+mn-ea"/>
              <a:cs typeface="+mn-cs"/>
            </a:rPr>
            <a:t>Bitte geben Sie Ihr preisliches Angebot für die Hauptleistung im ersten Tabellenreiter </a:t>
          </a:r>
          <a:r>
            <a:rPr lang="de-DE" sz="1100" b="1" i="1">
              <a:effectLst/>
              <a:latin typeface="+mn-lt"/>
              <a:ea typeface="+mn-ea"/>
              <a:cs typeface="+mn-cs"/>
            </a:rPr>
            <a:t>„Preisblatt | Leistung“</a:t>
          </a:r>
          <a:r>
            <a:rPr lang="de-DE" sz="1100" b="1">
              <a:effectLst/>
              <a:latin typeface="+mn-lt"/>
              <a:ea typeface="+mn-ea"/>
              <a:cs typeface="+mn-cs"/>
            </a:rPr>
            <a:t> ein. Ihr Preisangebot für die optionalen Leistungen geben Sie bitte im Tabellenreiter </a:t>
          </a:r>
          <a:r>
            <a:rPr lang="de-DE" sz="1100" b="1" i="1">
              <a:effectLst/>
              <a:latin typeface="+mn-lt"/>
              <a:ea typeface="+mn-ea"/>
              <a:cs typeface="+mn-cs"/>
            </a:rPr>
            <a:t>„Preisblatt | opt. Leistung“</a:t>
          </a:r>
          <a:r>
            <a:rPr lang="de-DE" sz="1100" b="1">
              <a:effectLst/>
              <a:latin typeface="+mn-lt"/>
              <a:ea typeface="+mn-ea"/>
              <a:cs typeface="+mn-cs"/>
            </a:rPr>
            <a:t> ein. Der Reiter „</a:t>
          </a:r>
          <a:r>
            <a:rPr lang="de-DE" sz="1100" b="1" i="1">
              <a:effectLst/>
              <a:latin typeface="+mn-lt"/>
              <a:ea typeface="+mn-ea"/>
              <a:cs typeface="+mn-cs"/>
            </a:rPr>
            <a:t>Summe Leistung + opt. Leist.</a:t>
          </a:r>
          <a:r>
            <a:rPr lang="de-DE" sz="1100" b="1">
              <a:effectLst/>
              <a:latin typeface="+mn-lt"/>
              <a:ea typeface="+mn-ea"/>
              <a:cs typeface="+mn-cs"/>
            </a:rPr>
            <a:t>“ bildet automatisch die Summe zur Ermittlung des Gesamtauftragswertes.</a:t>
          </a:r>
          <a:endParaRPr lang="de-DE">
            <a:effectLst/>
          </a:endParaRPr>
        </a:p>
        <a:p>
          <a:pPr marL="180000" indent="-180000" algn="l"/>
          <a:endParaRPr lang="en-US" sz="1100" b="0">
            <a:latin typeface="+mn-lt"/>
            <a:ea typeface="+mn-lt"/>
            <a:cs typeface="+mn-lt"/>
          </a:endParaRPr>
        </a:p>
        <a:p>
          <a:pPr marL="0" indent="-226800" algn="l">
            <a:tabLst>
              <a:tab pos="226800" algn="l"/>
            </a:tabLst>
          </a:pPr>
          <a:r>
            <a:rPr lang="en-US" sz="1100" b="1">
              <a:latin typeface="+mn-lt"/>
              <a:ea typeface="+mn-lt"/>
              <a:cs typeface="+mn-lt"/>
            </a:rPr>
            <a:t>1.	Festpreise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sind</a:t>
          </a:r>
          <a:r>
            <a:rPr lang="en-US" sz="1100" b="1">
              <a:latin typeface="+mn-lt"/>
              <a:ea typeface="+mn-lt"/>
              <a:cs typeface="+mn-lt"/>
            </a:rPr>
            <a:t> nur für Werkverträge anzugeben; dabei ist nach Milestones /</a:t>
          </a:r>
          <a:br>
            <a:rPr lang="en-US" sz="1100" b="1">
              <a:latin typeface="+mn-lt"/>
              <a:ea typeface="+mn-lt"/>
              <a:cs typeface="+mn-lt"/>
            </a:rPr>
          </a:br>
          <a:r>
            <a:rPr lang="en-US" sz="1100" b="1">
              <a:latin typeface="+mn-lt"/>
              <a:ea typeface="+mn-lt"/>
              <a:cs typeface="+mn-lt"/>
            </a:rPr>
            <a:t>	Teilabnahmen zu kalkulieren.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180000" indent="-180000"/>
          <a:r>
            <a:rPr lang="en-US" sz="1100" b="1">
              <a:effectLst/>
              <a:latin typeface="+mn-lt"/>
              <a:ea typeface="+mn-ea"/>
              <a:cs typeface="+mn-cs"/>
            </a:rPr>
            <a:t>2.1 Honorare Tagessatz (Ziffer 3.3.1 AVB)</a:t>
          </a:r>
          <a:endParaRPr lang="de-DE" b="1">
            <a:effectLst/>
          </a:endParaRPr>
        </a:p>
        <a:p>
          <a:pPr marL="0" indent="-226800">
            <a:buFont typeface="Arial" panose="020B0604020202020204" pitchFamily="34" charset="0"/>
            <a:buChar char="•"/>
            <a:tabLst>
              <a:tab pos="226800" algn="l"/>
            </a:tabLst>
          </a:pPr>
          <a:r>
            <a:rPr lang="en-US" sz="1100">
              <a:effectLst/>
              <a:latin typeface="+mn-lt"/>
              <a:ea typeface="+mn-ea"/>
              <a:cs typeface="+mn-cs"/>
            </a:rPr>
            <a:t>zum Nachweis der Durchführung sind Zeitnachweise einzureichen, die Vergütung erfolgt 	pauschal / Tag bzw. Stunde;</a:t>
          </a:r>
          <a:endParaRPr lang="de-DE">
            <a:effectLst/>
          </a:endParaRPr>
        </a:p>
        <a:p>
          <a:pPr marL="0" indent="-226800">
            <a:buFont typeface="Arial" panose="020B0604020202020204" pitchFamily="34" charset="0"/>
            <a:buChar char="•"/>
            <a:tabLst>
              <a:tab pos="226800" algn="l"/>
            </a:tabLst>
          </a:pPr>
          <a:r>
            <a:rPr lang="en-US" sz="1100">
              <a:effectLst/>
              <a:latin typeface="+mn-lt"/>
              <a:ea typeface="+mn-ea"/>
              <a:cs typeface="+mn-cs"/>
            </a:rPr>
            <a:t>Sollte nach FK-Stunden abgerechnet werden, ist dies in den Erläuterungen aufzunehmen;</a:t>
          </a:r>
          <a:endParaRPr lang="de-DE">
            <a:effectLst/>
          </a:endParaRPr>
        </a:p>
        <a:p>
          <a:pPr marL="0" indent="-226800">
            <a:buFont typeface="Arial" panose="020B0604020202020204" pitchFamily="34" charset="0"/>
            <a:buChar char="•"/>
            <a:tabLst>
              <a:tab pos="226800" algn="l"/>
            </a:tabLst>
          </a:pPr>
          <a:r>
            <a:rPr lang="en-US" sz="1100">
              <a:effectLst/>
              <a:latin typeface="+mn-lt"/>
              <a:ea typeface="+mn-ea"/>
              <a:cs typeface="+mn-cs"/>
            </a:rPr>
            <a:t>Fachkräftepools werden nach Kategorie bepreist; keine namentliche Nennung der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	Fachkräftepools (N.N.=nicht namentlich benannt);</a:t>
          </a:r>
          <a:endParaRPr lang="de-DE">
            <a:effectLst/>
          </a:endParaRPr>
        </a:p>
        <a:p>
          <a:pPr marL="0" indent="-226800">
            <a:buFont typeface="Arial" panose="020B0604020202020204" pitchFamily="34" charset="0"/>
            <a:buChar char="•"/>
            <a:tabLst>
              <a:tab pos="226800" algn="l"/>
            </a:tabLst>
          </a:pPr>
          <a:r>
            <a:rPr lang="en-US" sz="1100">
              <a:effectLst/>
              <a:latin typeface="+mn-lt"/>
              <a:ea typeface="+mn-ea"/>
              <a:cs typeface="+mn-cs"/>
            </a:rPr>
            <a:t>Namentliche Nennung der Schlüsselexperten (SFK) in der Liste Schlüsselfachkräfte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	(Tabellenblatt 2).</a:t>
          </a:r>
        </a:p>
        <a:p>
          <a:endParaRPr lang="en-US" sz="1100">
            <a:effectLst/>
            <a:latin typeface="+mn-lt"/>
            <a:ea typeface="+mn-ea"/>
            <a:cs typeface="+mn-cs"/>
          </a:endParaRPr>
        </a:p>
        <a:p>
          <a:pPr marL="180000" indent="-180000"/>
          <a:r>
            <a:rPr lang="en-US" sz="1100" b="1">
              <a:effectLst/>
              <a:latin typeface="+mn-lt"/>
              <a:ea typeface="+mn-ea"/>
              <a:cs typeface="+mn-cs"/>
            </a:rPr>
            <a:t>2.2 Auftragsbedingte Kosten im Einsatzland (Ziffer 3.3.2 AVB)</a:t>
          </a:r>
          <a:endParaRPr lang="de-DE" b="1">
            <a:effectLst/>
          </a:endParaRPr>
        </a:p>
        <a:p>
          <a:pPr marL="0" indent="0">
            <a:buFont typeface="Arial" panose="020B0604020202020204" pitchFamily="34" charset="0"/>
            <a:buChar char="•"/>
            <a:tabLst>
              <a:tab pos="226800" algn="l"/>
            </a:tabLst>
          </a:pPr>
          <a:r>
            <a:rPr lang="en-US" sz="1100">
              <a:effectLst/>
              <a:latin typeface="+mn-lt"/>
              <a:ea typeface="+mn-ea"/>
              <a:cs typeface="+mn-cs"/>
            </a:rPr>
            <a:t>	diese Zeile ist für US/KV regelmäßig ausgeblendet. Sollte sie ausnahmsweise notwendig 	sein, sollten die entsprechenden Zeilen eingeblendet werden;</a:t>
          </a:r>
          <a:endParaRPr lang="de-DE" sz="1100">
            <a:effectLst/>
            <a:latin typeface="+mn-lt"/>
            <a:ea typeface="+mn-ea"/>
            <a:cs typeface="+mn-cs"/>
          </a:endParaRPr>
        </a:p>
        <a:p>
          <a:pPr marL="0" indent="0">
            <a:buFont typeface="Arial" panose="020B0604020202020204" pitchFamily="34" charset="0"/>
            <a:buChar char="•"/>
            <a:tabLst>
              <a:tab pos="226800" algn="l"/>
            </a:tabLst>
          </a:pPr>
          <a:r>
            <a:rPr lang="en-US" sz="1100">
              <a:effectLst/>
              <a:latin typeface="+mn-lt"/>
              <a:ea typeface="+mn-ea"/>
              <a:cs typeface="+mn-cs"/>
            </a:rPr>
            <a:t>	Ab einem zusammenhängenden auftragsbedingten Aufenthalt im Einsatzland von mehr als 	drei Monaten kann der Auftragnehmer nach Bestätigung der Auftraggeberin die im Ausland 	entstehenden Kosten im Rahmen einer Kostenpauschale abrechnen.</a:t>
          </a:r>
          <a:endParaRPr lang="de-DE" sz="1100">
            <a:effectLst/>
            <a:latin typeface="+mn-lt"/>
            <a:ea typeface="+mn-ea"/>
            <a:cs typeface="+mn-cs"/>
          </a:endParaRPr>
        </a:p>
        <a:p>
          <a:pPr marL="0" indent="0">
            <a:tabLst>
              <a:tab pos="226800" algn="l"/>
            </a:tabLst>
          </a:pPr>
          <a:r>
            <a:rPr lang="en-US" sz="1100">
              <a:effectLst/>
              <a:latin typeface="+mn-lt"/>
              <a:ea typeface="+mn-ea"/>
              <a:cs typeface="+mn-cs"/>
            </a:rPr>
            <a:t>	Weitere Informationen hierzu sind Ziffer 3.3.2 AVB zu entnehmen.</a:t>
          </a:r>
          <a:endParaRPr lang="de-DE">
            <a:effectLst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indent="-226800">
            <a:tabLst>
              <a:tab pos="226800" algn="l"/>
            </a:tabLst>
          </a:pPr>
          <a:r>
            <a:rPr lang="en-US" sz="1100" b="1">
              <a:effectLst/>
              <a:latin typeface="+mn-lt"/>
              <a:ea typeface="+mn-ea"/>
              <a:cs typeface="+mn-cs"/>
            </a:rPr>
            <a:t>3.	Reisekosten (Ziffer 3.3.4 AVB)</a:t>
          </a:r>
          <a:endParaRPr lang="de-DE">
            <a:effectLst/>
          </a:endParaRPr>
        </a:p>
        <a:p>
          <a:pPr marL="0" indent="-226800">
            <a:buFont typeface="Arial" panose="020B0604020202020204" pitchFamily="34" charset="0"/>
            <a:buChar char="•"/>
            <a:tabLst>
              <a:tab pos="226800" algn="l"/>
            </a:tabLst>
          </a:pPr>
          <a:r>
            <a:rPr lang="en-US" sz="1100">
              <a:effectLst/>
              <a:latin typeface="+mn-lt"/>
              <a:ea typeface="+mn-ea"/>
              <a:cs typeface="+mn-cs"/>
            </a:rPr>
            <a:t>Ein Gesamtreisekostenbudget kann angeboten oder vorab durch die GIZ festgelegt werden. 	Darin enthalten sein können Pauschalen für TG / ÜK in Anwendung der RK-RL und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	Flugkosten gegen Nachweis. Eine Mischkalkulation aus Gesamtreisekostenbudget und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	vorgegebenen Reisekosten-Positionen sind nicht möglich;</a:t>
          </a:r>
          <a:endParaRPr lang="de-DE" sz="1100">
            <a:effectLst/>
            <a:latin typeface="+mn-lt"/>
            <a:ea typeface="+mn-ea"/>
            <a:cs typeface="+mn-cs"/>
          </a:endParaRPr>
        </a:p>
        <a:p>
          <a:pPr marL="0" indent="-226800">
            <a:buFont typeface="Arial" panose="020B0604020202020204" pitchFamily="34" charset="0"/>
            <a:buChar char="•"/>
            <a:tabLst>
              <a:tab pos="226800" algn="l"/>
            </a:tabLst>
          </a:pPr>
          <a:r>
            <a:rPr lang="en-US" sz="1100">
              <a:effectLst/>
              <a:latin typeface="+mn-lt"/>
              <a:ea typeface="+mn-ea"/>
              <a:cs typeface="+mn-cs"/>
            </a:rPr>
            <a:t>Um pauschal abrechnen zu können, muss die Anzahl der Flüge und Preis je Position 	angegeben werden. Die Vorgabe eines Gesamtbudgets für Reisekosten erfordert eine 	Abrechnung gegen Nachweis;</a:t>
          </a:r>
          <a:endParaRPr lang="de-DE" sz="1100">
            <a:effectLst/>
            <a:latin typeface="+mn-lt"/>
            <a:ea typeface="+mn-ea"/>
            <a:cs typeface="+mn-cs"/>
          </a:endParaRPr>
        </a:p>
        <a:p>
          <a:pPr marL="0" indent="-226800">
            <a:buFont typeface="Arial" panose="020B0604020202020204" pitchFamily="34" charset="0"/>
            <a:buChar char="•"/>
            <a:tabLst>
              <a:tab pos="226800" algn="l"/>
            </a:tabLst>
          </a:pPr>
          <a:r>
            <a:rPr lang="en-US" sz="1100">
              <a:effectLst/>
              <a:latin typeface="+mn-lt"/>
              <a:ea typeface="+mn-ea"/>
              <a:cs typeface="+mn-cs"/>
            </a:rPr>
            <a:t>TG und ÜK: wird für Reisen in verschiedene Länder ein Budget für TG/ÜK hinterlegt, 	müssen in den Erläuterungen die Einzelansätze für die jeweiligen Länder laut 	Reisekostenrichtlinie hinterlegt werden;</a:t>
          </a:r>
          <a:endParaRPr lang="de-DE" sz="1100">
            <a:effectLst/>
            <a:latin typeface="+mn-lt"/>
            <a:ea typeface="+mn-ea"/>
            <a:cs typeface="+mn-cs"/>
          </a:endParaRPr>
        </a:p>
        <a:p>
          <a:pPr marL="0" indent="-226800">
            <a:buFont typeface="Arial" panose="020B0604020202020204" pitchFamily="34" charset="0"/>
            <a:buChar char="•"/>
            <a:tabLst>
              <a:tab pos="226800" algn="l"/>
            </a:tabLst>
          </a:pPr>
          <a:r>
            <a:rPr lang="en-US" sz="1100">
              <a:effectLst/>
              <a:latin typeface="+mn-lt"/>
              <a:ea typeface="+mn-ea"/>
              <a:cs typeface="+mn-cs"/>
            </a:rPr>
            <a:t>Sonstige Reisekosten: darin enthalten sind bspw. Visa; hier können Pauschalen bei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	entsprechender Begründung der Position vereinbart werden.</a:t>
          </a:r>
          <a:endParaRPr lang="de-DE" sz="1100">
            <a:effectLst/>
            <a:latin typeface="+mn-lt"/>
            <a:ea typeface="+mn-ea"/>
            <a:cs typeface="+mn-cs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indent="-226800">
            <a:tabLst>
              <a:tab pos="226800" algn="l"/>
            </a:tabLst>
          </a:pPr>
          <a:r>
            <a:rPr lang="en-US" sz="1100" b="1">
              <a:effectLst/>
              <a:latin typeface="+mn-lt"/>
              <a:ea typeface="+mn-ea"/>
              <a:cs typeface="+mn-cs"/>
            </a:rPr>
            <a:t>4. Andere Kosten  (Ziffer 3.3.5 AVB)</a:t>
          </a:r>
          <a:endParaRPr lang="de-DE" b="1">
            <a:effectLst/>
          </a:endParaRPr>
        </a:p>
        <a:p>
          <a:pPr marL="0" indent="-226800">
            <a:buFont typeface="Arial" panose="020B0604020202020204" pitchFamily="34" charset="0"/>
            <a:buChar char="•"/>
            <a:tabLst>
              <a:tab pos="226800" algn="l"/>
            </a:tabLst>
          </a:pPr>
          <a:r>
            <a:rPr lang="en-US" sz="1100">
              <a:effectLst/>
              <a:latin typeface="+mn-lt"/>
              <a:ea typeface="+mn-ea"/>
              <a:cs typeface="+mn-cs"/>
            </a:rPr>
            <a:t>Ausrüstungsgüter (Ziffer 3.3.5.2 AVB): Ausrüstungsgüter werden im Rahmen der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	Auftragserfüllung nach den vertraglichen Vorgaben an die Partnerinstitution im Einsatzland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	übergeben. Daher ist eine Vergütungsposition erforderlich, die die vertraglichen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	Bedingungen ergänzt;</a:t>
          </a:r>
          <a:endParaRPr lang="de-DE" sz="1100">
            <a:effectLst/>
            <a:latin typeface="+mn-lt"/>
            <a:ea typeface="+mn-ea"/>
            <a:cs typeface="+mn-cs"/>
          </a:endParaRPr>
        </a:p>
        <a:p>
          <a:pPr marL="0" indent="-226800">
            <a:buFont typeface="Arial" panose="020B0604020202020204" pitchFamily="34" charset="0"/>
            <a:buChar char="•"/>
            <a:tabLst>
              <a:tab pos="226800" algn="l"/>
            </a:tabLst>
          </a:pPr>
          <a:r>
            <a:rPr lang="en-US" sz="1100">
              <a:effectLst/>
              <a:latin typeface="+mn-lt"/>
              <a:ea typeface="+mn-ea"/>
              <a:cs typeface="+mn-cs"/>
            </a:rPr>
            <a:t>Sonstige Kosten müssen im Preisangebot aufgeschlüsselt werden.</a:t>
          </a:r>
        </a:p>
      </xdr:txBody>
    </xdr:sp>
    <xdr:clientData/>
  </xdr:twoCellAnchor>
  <xdr:twoCellAnchor>
    <xdr:from>
      <xdr:col>8</xdr:col>
      <xdr:colOff>104774</xdr:colOff>
      <xdr:row>4</xdr:row>
      <xdr:rowOff>19050</xdr:rowOff>
    </xdr:from>
    <xdr:to>
      <xdr:col>16</xdr:col>
      <xdr:colOff>85724</xdr:colOff>
      <xdr:row>7</xdr:row>
      <xdr:rowOff>0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9BFAD818-59B5-4D7D-A687-C2E40B4F7C50}"/>
            </a:ext>
          </a:extLst>
        </xdr:cNvPr>
        <xdr:cNvSpPr txBox="1"/>
      </xdr:nvSpPr>
      <xdr:spPr>
        <a:xfrm>
          <a:off x="9639299" y="1162050"/>
          <a:ext cx="671512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Nicht benötigte Kostenpositionen sind ausgeblendet</a:t>
          </a:r>
          <a:endParaRPr lang="de-DE" b="1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Die Kostenpositionen bitte über den + - Button in der linken Leiste einblenden.</a:t>
          </a:r>
          <a:endParaRPr lang="de-DE" b="1">
            <a:effectLst/>
          </a:endParaRPr>
        </a:p>
        <a:p>
          <a:endParaRPr lang="de-D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1000461</xdr:colOff>
      <xdr:row>0</xdr:row>
      <xdr:rowOff>18932</xdr:rowOff>
    </xdr:from>
    <xdr:to>
      <xdr:col>6</xdr:col>
      <xdr:colOff>183812</xdr:colOff>
      <xdr:row>0</xdr:row>
      <xdr:rowOff>849789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D110FDD-AE46-4335-B155-D8A0AD81A9D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" r="3"/>
        <a:stretch/>
      </xdr:blipFill>
      <xdr:spPr>
        <a:xfrm>
          <a:off x="6677361" y="18932"/>
          <a:ext cx="1993226" cy="830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vXE10\GIZ\Offen\42-10-kostenschaetzung-us-kv\2.%20Fachabteilung\42-10-kostenschaetzung-us-kv-de-ERWEITERUNG-um-OPTIONE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andreas_meincke_giz_de1/Documents/Microsoft%20Teams-Chatdateien/00-81270598-Preisblat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enschätzung | Leistung"/>
      <sheetName val="Kostenschätzung | opt. Leistung"/>
      <sheetName val="Summe Leistung + opt. Leist."/>
      <sheetName val="Listen"/>
    </sheetNames>
    <sheetDataSet>
      <sheetData sheetId="0"/>
      <sheetData sheetId="1" refreshError="1"/>
      <sheetData sheetId="2"/>
      <sheetData sheetId="3">
        <row r="4">
          <cell r="D4" t="str">
            <v>Ja</v>
          </cell>
        </row>
        <row r="5">
          <cell r="D5" t="str">
            <v>Nein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isblatt"/>
      <sheetName val="Liste der Schlüsselfachkräfte"/>
      <sheetName val="Listen"/>
    </sheetNames>
    <sheetDataSet>
      <sheetData sheetId="0"/>
      <sheetData sheetId="1">
        <row r="11">
          <cell r="B11" t="str">
            <v>Teamleiter</v>
          </cell>
        </row>
        <row r="12">
          <cell r="B12" t="str">
            <v>SFK 1</v>
          </cell>
        </row>
        <row r="13">
          <cell r="B13" t="str">
            <v>SFK 2</v>
          </cell>
        </row>
        <row r="14">
          <cell r="B14" t="str">
            <v>SFK 3</v>
          </cell>
        </row>
        <row r="15">
          <cell r="B15" t="str">
            <v>SFK 4</v>
          </cell>
        </row>
        <row r="16">
          <cell r="B16" t="str">
            <v>SFK 5</v>
          </cell>
        </row>
        <row r="17">
          <cell r="B17" t="str">
            <v>SFK 6</v>
          </cell>
        </row>
      </sheetData>
      <sheetData sheetId="2">
        <row r="4">
          <cell r="B4" t="str">
            <v>Bitte wählen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7D550C-7627-412E-84A7-9CD549478E79}" name="Tabelle1" displayName="Tabelle1" ref="B3:B7" totalsRowShown="0">
  <tableColumns count="1">
    <tableColumn id="1" xr3:uid="{B3220546-9D07-4C34-AC6A-0D0704B3A795}" name="Erstattungs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GIZ 2018">
      <a:dk1>
        <a:srgbClr val="000000"/>
      </a:dk1>
      <a:lt1>
        <a:srgbClr val="FFFFFF"/>
      </a:lt1>
      <a:dk2>
        <a:srgbClr val="939393"/>
      </a:dk2>
      <a:lt2>
        <a:srgbClr val="E6E6E6"/>
      </a:lt2>
      <a:accent1>
        <a:srgbClr val="C80F0F"/>
      </a:accent1>
      <a:accent2>
        <a:srgbClr val="B1E2F0"/>
      </a:accent2>
      <a:accent3>
        <a:srgbClr val="E6E6E6"/>
      </a:accent3>
      <a:accent4>
        <a:srgbClr val="FBBD2A"/>
      </a:accent4>
      <a:accent5>
        <a:srgbClr val="E57706"/>
      </a:accent5>
      <a:accent6>
        <a:srgbClr val="9C7915"/>
      </a:accent6>
      <a:hlink>
        <a:srgbClr val="C80F0F"/>
      </a:hlink>
      <a:folHlink>
        <a:srgbClr val="F25A5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undesfinanzministerium.de/Content/DE/Downloads/BMF_Schreiben/Steuerarten/Lohnsteuer/2023-11-21-steuerliche-behandlung-reisekosten-reisekostenverguetungen-2024.htm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undesfinanzministerium.de/Content/DE/Downloads/BMF_Schreiben/Steuerarten/Lohnsteuer/2023-11-21-steuerliche-behandlung-reisekosten-reisekostenverguetungen-2024.html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bundesfinanzministerium.de/Content/DE/Downloads/BMF_Schreiben/Steuerarten/Lohnsteuer/2023-11-21-steuerliche-behandlung-reisekosten-reisekostenverguetungen-2024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0725-47DE-4DC7-8508-8FE6F93C27BA}">
  <sheetPr codeName="Tabelle1"/>
  <dimension ref="A1:N110"/>
  <sheetViews>
    <sheetView showGridLines="0" tabSelected="1" zoomScale="90" zoomScaleNormal="90" zoomScalePageLayoutView="77" workbookViewId="0">
      <selection activeCell="C66" sqref="C66"/>
    </sheetView>
  </sheetViews>
  <sheetFormatPr baseColWidth="10" defaultColWidth="11.42578125" defaultRowHeight="12" outlineLevelRow="2" x14ac:dyDescent="0.2"/>
  <cols>
    <col min="1" max="1" width="35.28515625" customWidth="1"/>
    <col min="2" max="2" width="16.28515625" customWidth="1"/>
    <col min="3" max="3" width="19.5703125" customWidth="1"/>
    <col min="4" max="4" width="9.28515625" customWidth="1"/>
    <col min="5" max="5" width="10.85546875" customWidth="1"/>
    <col min="6" max="6" width="18.42578125" customWidth="1"/>
    <col min="7" max="7" width="31.28515625" customWidth="1"/>
    <col min="8" max="8" width="2" customWidth="1"/>
    <col min="9" max="9" width="5.7109375" customWidth="1"/>
    <col min="10" max="10" width="11.42578125" customWidth="1"/>
    <col min="11" max="11" width="9.42578125" customWidth="1"/>
    <col min="12" max="12" width="5.28515625" customWidth="1"/>
    <col min="14" max="14" width="34.85546875" customWidth="1"/>
  </cols>
  <sheetData>
    <row r="1" spans="1:14" ht="67.5" customHeight="1" x14ac:dyDescent="0.2">
      <c r="A1" s="108" t="s">
        <v>90</v>
      </c>
      <c r="B1" s="109"/>
      <c r="C1" s="109"/>
      <c r="D1" s="109"/>
      <c r="E1" s="109"/>
      <c r="F1" s="109"/>
      <c r="G1" s="49"/>
      <c r="H1" s="48"/>
    </row>
    <row r="2" spans="1:14" s="2" customFormat="1" ht="5.25" x14ac:dyDescent="0.2">
      <c r="A2" s="27"/>
    </row>
    <row r="3" spans="1:14" x14ac:dyDescent="0.2">
      <c r="A3" s="28" t="s">
        <v>0</v>
      </c>
      <c r="B3" s="39" t="s">
        <v>97</v>
      </c>
      <c r="C3" s="29" t="s">
        <v>1</v>
      </c>
      <c r="D3" s="110"/>
      <c r="E3" s="110"/>
      <c r="F3" s="29"/>
      <c r="G3" s="15"/>
    </row>
    <row r="4" spans="1:14" s="2" customFormat="1" ht="5.25" customHeight="1" x14ac:dyDescent="0.2">
      <c r="A4" s="27"/>
      <c r="C4" s="30"/>
      <c r="D4" s="9"/>
      <c r="E4" s="9"/>
      <c r="F4" s="9"/>
      <c r="G4" s="9"/>
    </row>
    <row r="5" spans="1:14" x14ac:dyDescent="0.2">
      <c r="A5" s="31" t="s">
        <v>91</v>
      </c>
      <c r="B5" s="39" t="s">
        <v>98</v>
      </c>
      <c r="C5" s="29" t="s">
        <v>3</v>
      </c>
      <c r="D5" s="111"/>
      <c r="E5" s="111"/>
      <c r="F5" s="111"/>
      <c r="G5" s="111"/>
    </row>
    <row r="6" spans="1:14" s="2" customFormat="1" ht="5.25" x14ac:dyDescent="0.2">
      <c r="A6" s="27"/>
      <c r="C6" s="30"/>
    </row>
    <row r="7" spans="1:14" ht="34.15" customHeight="1" x14ac:dyDescent="0.2">
      <c r="A7" s="32"/>
      <c r="B7" s="23"/>
      <c r="C7" s="29" t="s">
        <v>4</v>
      </c>
      <c r="D7" s="104"/>
      <c r="E7" s="105"/>
      <c r="F7" s="105"/>
      <c r="G7" s="105"/>
    </row>
    <row r="8" spans="1:14" s="18" customFormat="1" ht="9" x14ac:dyDescent="0.2">
      <c r="A8" s="33"/>
      <c r="B8" s="34"/>
      <c r="C8" s="34"/>
      <c r="D8" s="34"/>
      <c r="E8" s="34"/>
      <c r="F8" s="34"/>
      <c r="G8" s="34"/>
      <c r="H8" s="101"/>
    </row>
    <row r="9" spans="1:14" ht="33" hidden="1" customHeight="1" x14ac:dyDescent="0.2">
      <c r="A9" s="5" t="s">
        <v>5</v>
      </c>
      <c r="B9" s="5"/>
      <c r="C9" s="5"/>
      <c r="D9" s="5"/>
      <c r="E9" s="5"/>
      <c r="F9" s="5"/>
      <c r="G9" s="5"/>
      <c r="H9" s="102"/>
    </row>
    <row r="10" spans="1:14" s="20" customFormat="1" ht="6" hidden="1" outlineLevel="2" x14ac:dyDescent="0.2"/>
    <row r="11" spans="1:14" hidden="1" outlineLevel="2" x14ac:dyDescent="0.2">
      <c r="A11" s="3" t="s">
        <v>6</v>
      </c>
      <c r="B11" s="37" t="s">
        <v>7</v>
      </c>
      <c r="C11" s="38"/>
      <c r="D11" s="3" t="s">
        <v>8</v>
      </c>
      <c r="E11" s="3" t="s">
        <v>9</v>
      </c>
      <c r="F11" s="3" t="s">
        <v>10</v>
      </c>
      <c r="G11" s="3" t="s">
        <v>11</v>
      </c>
    </row>
    <row r="12" spans="1:14" hidden="1" outlineLevel="2" x14ac:dyDescent="0.2">
      <c r="A12" s="12" t="s">
        <v>12</v>
      </c>
      <c r="B12" s="40"/>
      <c r="C12" s="41"/>
      <c r="D12" s="10"/>
      <c r="E12" s="54"/>
      <c r="F12" s="57">
        <f>D12*E12</f>
        <v>0</v>
      </c>
      <c r="G12" s="12"/>
    </row>
    <row r="13" spans="1:14" hidden="1" outlineLevel="2" x14ac:dyDescent="0.2">
      <c r="A13" s="12" t="s">
        <v>13</v>
      </c>
      <c r="B13" s="40"/>
      <c r="C13" s="41"/>
      <c r="D13" s="10"/>
      <c r="E13" s="54"/>
      <c r="F13" s="57">
        <f>D13*E13</f>
        <v>0</v>
      </c>
      <c r="G13" s="12"/>
      <c r="N13" s="21"/>
    </row>
    <row r="14" spans="1:14" hidden="1" outlineLevel="2" x14ac:dyDescent="0.2">
      <c r="A14" s="12" t="s">
        <v>14</v>
      </c>
      <c r="B14" s="40"/>
      <c r="C14" s="41"/>
      <c r="D14" s="10"/>
      <c r="E14" s="54"/>
      <c r="F14" s="57">
        <f t="shared" ref="F14:F18" si="0">D14*E14</f>
        <v>0</v>
      </c>
      <c r="G14" s="12"/>
      <c r="N14" s="21"/>
    </row>
    <row r="15" spans="1:14" hidden="1" outlineLevel="2" x14ac:dyDescent="0.2">
      <c r="A15" s="12" t="s">
        <v>15</v>
      </c>
      <c r="B15" s="40"/>
      <c r="C15" s="41"/>
      <c r="D15" s="10"/>
      <c r="E15" s="54"/>
      <c r="F15" s="57">
        <f t="shared" si="0"/>
        <v>0</v>
      </c>
      <c r="G15" s="12"/>
      <c r="N15" s="21"/>
    </row>
    <row r="16" spans="1:14" hidden="1" outlineLevel="2" x14ac:dyDescent="0.2">
      <c r="A16" s="12" t="s">
        <v>16</v>
      </c>
      <c r="B16" s="40"/>
      <c r="C16" s="41"/>
      <c r="D16" s="10"/>
      <c r="E16" s="54"/>
      <c r="F16" s="57">
        <f t="shared" si="0"/>
        <v>0</v>
      </c>
      <c r="G16" s="12"/>
      <c r="N16" s="21"/>
    </row>
    <row r="17" spans="1:14" hidden="1" outlineLevel="2" x14ac:dyDescent="0.2">
      <c r="A17" s="12" t="s">
        <v>78</v>
      </c>
      <c r="B17" s="40"/>
      <c r="C17" s="41"/>
      <c r="D17" s="10"/>
      <c r="E17" s="54"/>
      <c r="F17" s="57">
        <f t="shared" si="0"/>
        <v>0</v>
      </c>
      <c r="G17" s="12"/>
      <c r="N17" s="21"/>
    </row>
    <row r="18" spans="1:14" hidden="1" outlineLevel="2" x14ac:dyDescent="0.2">
      <c r="A18" s="12" t="s">
        <v>79</v>
      </c>
      <c r="B18" s="40"/>
      <c r="C18" s="41"/>
      <c r="D18" s="10"/>
      <c r="E18" s="54"/>
      <c r="F18" s="57">
        <f t="shared" si="0"/>
        <v>0</v>
      </c>
      <c r="G18" s="12"/>
      <c r="N18" s="21"/>
    </row>
    <row r="19" spans="1:14" hidden="1" outlineLevel="2" x14ac:dyDescent="0.2">
      <c r="A19" s="12" t="s">
        <v>80</v>
      </c>
      <c r="B19" s="40"/>
      <c r="C19" s="41"/>
      <c r="D19" s="10"/>
      <c r="E19" s="54"/>
      <c r="F19" s="57">
        <f t="shared" ref="F19" si="1">D19*E19</f>
        <v>0</v>
      </c>
      <c r="G19" s="12"/>
      <c r="N19" s="21"/>
    </row>
    <row r="20" spans="1:14" s="2" customFormat="1" ht="5.25" hidden="1" outlineLevel="2" x14ac:dyDescent="0.2">
      <c r="C20" s="9"/>
    </row>
    <row r="21" spans="1:14" hidden="1" collapsed="1" x14ac:dyDescent="0.2">
      <c r="A21" s="6" t="s">
        <v>17</v>
      </c>
      <c r="B21" s="6"/>
      <c r="C21" s="6"/>
      <c r="D21" s="6"/>
      <c r="E21" s="6"/>
      <c r="F21" s="58">
        <f>SUM(F12:F20)</f>
        <v>0</v>
      </c>
      <c r="G21" s="6"/>
    </row>
    <row r="22" spans="1:14" s="16" customFormat="1" ht="17.100000000000001" customHeight="1" x14ac:dyDescent="0.2"/>
    <row r="23" spans="1:14" x14ac:dyDescent="0.2">
      <c r="A23" s="5" t="s">
        <v>73</v>
      </c>
      <c r="B23" s="5"/>
      <c r="C23" s="5"/>
      <c r="D23" s="5"/>
      <c r="E23" s="5"/>
      <c r="F23" s="5"/>
      <c r="G23" s="5"/>
    </row>
    <row r="24" spans="1:14" s="20" customFormat="1" ht="5.45" customHeight="1" x14ac:dyDescent="0.2"/>
    <row r="25" spans="1:14" ht="24" x14ac:dyDescent="0.2">
      <c r="A25" s="22" t="s">
        <v>18</v>
      </c>
      <c r="B25" s="3" t="s">
        <v>19</v>
      </c>
      <c r="C25" s="3" t="s">
        <v>20</v>
      </c>
      <c r="D25" s="3" t="s">
        <v>21</v>
      </c>
      <c r="E25" s="3" t="s">
        <v>9</v>
      </c>
      <c r="F25" s="3" t="s">
        <v>22</v>
      </c>
      <c r="G25" s="3" t="s">
        <v>11</v>
      </c>
    </row>
    <row r="26" spans="1:14" x14ac:dyDescent="0.2">
      <c r="A26" s="12" t="s">
        <v>23</v>
      </c>
      <c r="B26" s="24" t="str">
        <f>IFERROR(VLOOKUP(A26,'Liste der Schlüsselfachkräfte'!$B$11:$D$34,3,0)&amp;" "&amp;VLOOKUP(A26,'Liste der Schlüsselfachkräfte'!$B$11:$D$34,2,0),"N.N.")</f>
        <v xml:space="preserve"> </v>
      </c>
      <c r="C26" s="8" t="s">
        <v>24</v>
      </c>
      <c r="D26" s="10">
        <v>18</v>
      </c>
      <c r="E26" s="54"/>
      <c r="F26" s="57">
        <f>D26*E26</f>
        <v>0</v>
      </c>
      <c r="G26" s="12"/>
    </row>
    <row r="27" spans="1:14" hidden="1" x14ac:dyDescent="0.2">
      <c r="A27" s="12" t="s">
        <v>25</v>
      </c>
      <c r="B27" s="24" t="str">
        <f>IFERROR(VLOOKUP(A27,'Liste der Schlüsselfachkräfte'!$B$11:$D$34,3,0)&amp;" "&amp;VLOOKUP(A27,'Liste der Schlüsselfachkräfte'!$B$11:$D$34,2,0),"N.N.")</f>
        <v xml:space="preserve">  </v>
      </c>
      <c r="C27" s="8" t="s">
        <v>24</v>
      </c>
      <c r="D27" s="10"/>
      <c r="E27" s="54"/>
      <c r="F27" s="57">
        <f t="shared" ref="F27:F36" si="2">D27*E27</f>
        <v>0</v>
      </c>
      <c r="G27" s="12"/>
    </row>
    <row r="28" spans="1:14" hidden="1" outlineLevel="1" x14ac:dyDescent="0.2">
      <c r="A28" s="12" t="s">
        <v>26</v>
      </c>
      <c r="B28" s="24" t="str">
        <f>IFERROR(VLOOKUP(A28,'Liste der Schlüsselfachkräfte'!$B$11:$D$34,3,0)&amp;" "&amp;VLOOKUP(A28,'Liste der Schlüsselfachkräfte'!$B$11:$D$34,2,0),"N.N.")</f>
        <v xml:space="preserve"> </v>
      </c>
      <c r="C28" s="8" t="s">
        <v>24</v>
      </c>
      <c r="D28" s="10"/>
      <c r="E28" s="54"/>
      <c r="F28" s="57">
        <f t="shared" si="2"/>
        <v>0</v>
      </c>
      <c r="G28" s="12"/>
    </row>
    <row r="29" spans="1:14" hidden="1" outlineLevel="1" x14ac:dyDescent="0.2">
      <c r="A29" s="12" t="s">
        <v>27</v>
      </c>
      <c r="B29" s="24" t="str">
        <f>IFERROR(VLOOKUP(A29,'Liste der Schlüsselfachkräfte'!$B$11:$D$34,3,0)&amp;" "&amp;VLOOKUP(A29,'Liste der Schlüsselfachkräfte'!$B$11:$D$34,2,0),"N.N.")</f>
        <v xml:space="preserve"> </v>
      </c>
      <c r="C29" s="8" t="s">
        <v>24</v>
      </c>
      <c r="D29" s="10"/>
      <c r="E29" s="54"/>
      <c r="F29" s="57">
        <f t="shared" si="2"/>
        <v>0</v>
      </c>
      <c r="G29" s="12"/>
    </row>
    <row r="30" spans="1:14" hidden="1" outlineLevel="1" x14ac:dyDescent="0.2">
      <c r="A30" s="12" t="s">
        <v>65</v>
      </c>
      <c r="B30" s="24" t="str">
        <f>IFERROR(VLOOKUP(A30,'Liste der Schlüsselfachkräfte'!$B$11:$D$34,3,0)&amp;" "&amp;VLOOKUP(A30,'Liste der Schlüsselfachkräfte'!$B$11:$D$34,2,0),"N.N.")</f>
        <v xml:space="preserve"> </v>
      </c>
      <c r="C30" s="8" t="s">
        <v>24</v>
      </c>
      <c r="D30" s="10"/>
      <c r="E30" s="54"/>
      <c r="F30" s="57">
        <f t="shared" si="2"/>
        <v>0</v>
      </c>
      <c r="G30" s="12"/>
    </row>
    <row r="31" spans="1:14" hidden="1" outlineLevel="1" x14ac:dyDescent="0.2">
      <c r="A31" s="12" t="s">
        <v>66</v>
      </c>
      <c r="B31" s="24" t="str">
        <f>IFERROR(VLOOKUP(A31,'Liste der Schlüsselfachkräfte'!$B$11:$D$34,3,0)&amp;" "&amp;VLOOKUP(A31,'Liste der Schlüsselfachkräfte'!$B$11:$D$34,2,0),"N.N.")</f>
        <v xml:space="preserve"> </v>
      </c>
      <c r="C31" s="8" t="s">
        <v>24</v>
      </c>
      <c r="D31" s="10"/>
      <c r="E31" s="54"/>
      <c r="F31" s="57">
        <f t="shared" si="2"/>
        <v>0</v>
      </c>
      <c r="G31" s="12"/>
    </row>
    <row r="32" spans="1:14" outlineLevel="1" x14ac:dyDescent="0.2">
      <c r="A32" s="12" t="s">
        <v>70</v>
      </c>
      <c r="B32" s="24" t="str">
        <f>IFERROR(VLOOKUP(A32,'Liste der Schlüsselfachkräfte'!$B$11:$D$34,3,0)&amp;" "&amp;VLOOKUP(A32,'Liste der Schlüsselfachkräfte'!$B$11:$D$34,2,0),"N.N.")</f>
        <v>N.N.</v>
      </c>
      <c r="C32" s="8" t="s">
        <v>24</v>
      </c>
      <c r="D32" s="10">
        <v>36</v>
      </c>
      <c r="E32" s="54"/>
      <c r="F32" s="57">
        <f t="shared" si="2"/>
        <v>0</v>
      </c>
      <c r="G32" s="12"/>
    </row>
    <row r="33" spans="1:7" hidden="1" outlineLevel="1" x14ac:dyDescent="0.2">
      <c r="A33" s="12" t="s">
        <v>71</v>
      </c>
      <c r="B33" s="24" t="str">
        <f>IFERROR(VLOOKUP(A33,'Liste der Schlüsselfachkräfte'!$B$11:$D$34,3,0)&amp;" "&amp;VLOOKUP(A33,'Liste der Schlüsselfachkräfte'!$B$11:$D$34,2,0),"N.N.")</f>
        <v>N.N.</v>
      </c>
      <c r="C33" s="8" t="s">
        <v>24</v>
      </c>
      <c r="D33" s="10"/>
      <c r="E33" s="54"/>
      <c r="F33" s="57">
        <f t="shared" si="2"/>
        <v>0</v>
      </c>
      <c r="G33" s="12"/>
    </row>
    <row r="34" spans="1:7" hidden="1" outlineLevel="1" x14ac:dyDescent="0.2">
      <c r="A34" s="12" t="s">
        <v>72</v>
      </c>
      <c r="B34" s="24" t="str">
        <f>IFERROR(VLOOKUP(A34,'Liste der Schlüsselfachkräfte'!$B$11:$D$34,3,0)&amp;" "&amp;VLOOKUP(A34,'Liste der Schlüsselfachkräfte'!$B$11:$D$34,2,0),"N.N.")</f>
        <v>N.N.</v>
      </c>
      <c r="C34" s="8" t="s">
        <v>24</v>
      </c>
      <c r="D34" s="10"/>
      <c r="E34" s="54"/>
      <c r="F34" s="57">
        <f t="shared" si="2"/>
        <v>0</v>
      </c>
      <c r="G34" s="12"/>
    </row>
    <row r="35" spans="1:7" hidden="1" outlineLevel="1" x14ac:dyDescent="0.2">
      <c r="A35" s="12" t="s">
        <v>74</v>
      </c>
      <c r="B35" s="24" t="str">
        <f>IFERROR(VLOOKUP(A35,'Liste der Schlüsselfachkräfte'!$B$11:$D$34,3,0)&amp;" "&amp;VLOOKUP(A35,'Liste der Schlüsselfachkräfte'!$B$11:$D$34,2,0),"N.N.")</f>
        <v>N.N.</v>
      </c>
      <c r="C35" s="8" t="s">
        <v>24</v>
      </c>
      <c r="D35" s="10"/>
      <c r="E35" s="54"/>
      <c r="F35" s="57">
        <f t="shared" ref="F35" si="3">D35*E35</f>
        <v>0</v>
      </c>
      <c r="G35" s="12"/>
    </row>
    <row r="36" spans="1:7" hidden="1" outlineLevel="1" x14ac:dyDescent="0.2">
      <c r="A36" s="12" t="s">
        <v>75</v>
      </c>
      <c r="B36" s="24" t="str">
        <f>IFERROR(VLOOKUP(A36,'Liste der Schlüsselfachkräfte'!$B$11:$D$34,3,0)&amp;" "&amp;VLOOKUP(A36,'Liste der Schlüsselfachkräfte'!$B$11:$D$34,2,0),"N.N.")</f>
        <v>N.N.</v>
      </c>
      <c r="C36" s="8" t="s">
        <v>24</v>
      </c>
      <c r="D36" s="10"/>
      <c r="E36" s="54"/>
      <c r="F36" s="57">
        <f t="shared" si="2"/>
        <v>0</v>
      </c>
      <c r="G36" s="12"/>
    </row>
    <row r="37" spans="1:7" s="2" customFormat="1" ht="5.45" customHeight="1" outlineLevel="1" x14ac:dyDescent="0.2">
      <c r="C37" s="9"/>
    </row>
    <row r="38" spans="1:7" x14ac:dyDescent="0.2">
      <c r="A38" s="6" t="s">
        <v>17</v>
      </c>
      <c r="B38" s="6"/>
      <c r="C38" s="6"/>
      <c r="D38" s="6"/>
      <c r="E38" s="6"/>
      <c r="F38" s="58">
        <f>SUM(F26:F37)</f>
        <v>0</v>
      </c>
      <c r="G38" s="6"/>
    </row>
    <row r="39" spans="1:7" s="16" customFormat="1" ht="5.45" customHeight="1" x14ac:dyDescent="0.2"/>
    <row r="40" spans="1:7" ht="24" hidden="1" x14ac:dyDescent="0.2">
      <c r="A40" s="22" t="s">
        <v>28</v>
      </c>
      <c r="B40" s="3" t="s">
        <v>19</v>
      </c>
      <c r="C40" s="3" t="s">
        <v>29</v>
      </c>
      <c r="D40" s="3" t="s">
        <v>8</v>
      </c>
      <c r="E40" s="3" t="s">
        <v>30</v>
      </c>
      <c r="F40" s="3" t="s">
        <v>22</v>
      </c>
      <c r="G40" s="3" t="s">
        <v>11</v>
      </c>
    </row>
    <row r="41" spans="1:7" hidden="1" x14ac:dyDescent="0.2">
      <c r="A41" s="12" t="s">
        <v>23</v>
      </c>
      <c r="B41" s="25" t="str">
        <f>IFERROR(VLOOKUP(A41,'Liste der Schlüsselfachkräfte'!$B$11:$D$34,3,0)&amp;" "&amp;VLOOKUP(A41,'Liste der Schlüsselfachkräfte'!$B$11:$D$34,2,0),"N.N.")</f>
        <v xml:space="preserve"> </v>
      </c>
      <c r="C41" s="17" t="s">
        <v>31</v>
      </c>
      <c r="D41" s="10"/>
      <c r="E41" s="54"/>
      <c r="F41" s="57">
        <f>D41*E41</f>
        <v>0</v>
      </c>
      <c r="G41" s="12"/>
    </row>
    <row r="42" spans="1:7" hidden="1" x14ac:dyDescent="0.2">
      <c r="A42" s="12" t="s">
        <v>25</v>
      </c>
      <c r="B42" s="25" t="str">
        <f>IFERROR(VLOOKUP(A42,'Liste der Schlüsselfachkräfte'!$B$11:$D$34,3,0)&amp;" "&amp;VLOOKUP(A42,'Liste der Schlüsselfachkräfte'!$B$11:$D$34,2,0),"N.N.")</f>
        <v xml:space="preserve">  </v>
      </c>
      <c r="C42" s="17" t="s">
        <v>31</v>
      </c>
      <c r="D42" s="10"/>
      <c r="E42" s="54"/>
      <c r="F42" s="57">
        <f t="shared" ref="F42:F51" si="4">D42*E42</f>
        <v>0</v>
      </c>
      <c r="G42" s="12"/>
    </row>
    <row r="43" spans="1:7" hidden="1" outlineLevel="1" x14ac:dyDescent="0.2">
      <c r="A43" s="12" t="s">
        <v>26</v>
      </c>
      <c r="B43" s="25" t="str">
        <f>IFERROR(VLOOKUP(A43,'Liste der Schlüsselfachkräfte'!$B$11:$D$34,3,0)&amp;" "&amp;VLOOKUP(A43,'Liste der Schlüsselfachkräfte'!$B$11:$D$34,2,0),"N.N.")</f>
        <v xml:space="preserve"> </v>
      </c>
      <c r="C43" s="17" t="s">
        <v>31</v>
      </c>
      <c r="D43" s="10"/>
      <c r="E43" s="54"/>
      <c r="F43" s="57">
        <f t="shared" si="4"/>
        <v>0</v>
      </c>
      <c r="G43" s="12"/>
    </row>
    <row r="44" spans="1:7" hidden="1" outlineLevel="1" x14ac:dyDescent="0.2">
      <c r="A44" s="12" t="s">
        <v>27</v>
      </c>
      <c r="B44" s="25" t="str">
        <f>IFERROR(VLOOKUP(A44,'Liste der Schlüsselfachkräfte'!$B$11:$D$34,3,0)&amp;" "&amp;VLOOKUP(A44,'Liste der Schlüsselfachkräfte'!$B$11:$D$34,2,0),"N.N.")</f>
        <v xml:space="preserve"> </v>
      </c>
      <c r="C44" s="17" t="s">
        <v>31</v>
      </c>
      <c r="D44" s="10"/>
      <c r="E44" s="54"/>
      <c r="F44" s="57">
        <f t="shared" ref="F44" si="5">D44*E44</f>
        <v>0</v>
      </c>
      <c r="G44" s="12"/>
    </row>
    <row r="45" spans="1:7" hidden="1" outlineLevel="1" x14ac:dyDescent="0.2">
      <c r="A45" s="12" t="s">
        <v>65</v>
      </c>
      <c r="B45" s="25" t="str">
        <f>IFERROR(VLOOKUP(A45,'Liste der Schlüsselfachkräfte'!$B$11:$D$34,3,0)&amp;" "&amp;VLOOKUP(A45,'Liste der Schlüsselfachkräfte'!$B$11:$D$34,2,0),"N.N.")</f>
        <v xml:space="preserve"> </v>
      </c>
      <c r="C45" s="17" t="s">
        <v>31</v>
      </c>
      <c r="D45" s="10"/>
      <c r="E45" s="54"/>
      <c r="F45" s="57">
        <f t="shared" si="4"/>
        <v>0</v>
      </c>
      <c r="G45" s="12"/>
    </row>
    <row r="46" spans="1:7" hidden="1" outlineLevel="1" x14ac:dyDescent="0.2">
      <c r="A46" s="12" t="s">
        <v>66</v>
      </c>
      <c r="B46" s="25" t="str">
        <f>IFERROR(VLOOKUP(A46,'Liste der Schlüsselfachkräfte'!$B$11:$D$34,3,0)&amp;" "&amp;VLOOKUP(A46,'Liste der Schlüsselfachkräfte'!$B$11:$D$34,2,0),"N.N.")</f>
        <v xml:space="preserve"> </v>
      </c>
      <c r="C46" s="17" t="s">
        <v>31</v>
      </c>
      <c r="D46" s="10"/>
      <c r="E46" s="54"/>
      <c r="F46" s="57">
        <f t="shared" si="4"/>
        <v>0</v>
      </c>
      <c r="G46" s="12"/>
    </row>
    <row r="47" spans="1:7" hidden="1" outlineLevel="1" x14ac:dyDescent="0.2">
      <c r="A47" s="12" t="s">
        <v>70</v>
      </c>
      <c r="B47" s="25" t="str">
        <f>IFERROR(VLOOKUP(A47,'Liste der Schlüsselfachkräfte'!$B$11:$D$34,3,0)&amp;" "&amp;VLOOKUP(A47,'Liste der Schlüsselfachkräfte'!$B$11:$D$34,2,0),"N.N.")</f>
        <v>N.N.</v>
      </c>
      <c r="C47" s="17" t="s">
        <v>31</v>
      </c>
      <c r="D47" s="10"/>
      <c r="E47" s="54"/>
      <c r="F47" s="57">
        <f t="shared" si="4"/>
        <v>0</v>
      </c>
      <c r="G47" s="12"/>
    </row>
    <row r="48" spans="1:7" hidden="1" outlineLevel="1" x14ac:dyDescent="0.2">
      <c r="A48" s="12" t="s">
        <v>71</v>
      </c>
      <c r="B48" s="25" t="str">
        <f>IFERROR(VLOOKUP(A48,'Liste der Schlüsselfachkräfte'!$B$11:$D$34,3,0)&amp;" "&amp;VLOOKUP(A48,'Liste der Schlüsselfachkräfte'!$B$11:$D$34,2,0),"N.N.")</f>
        <v>N.N.</v>
      </c>
      <c r="C48" s="17" t="s">
        <v>31</v>
      </c>
      <c r="D48" s="10"/>
      <c r="E48" s="54"/>
      <c r="F48" s="57">
        <f t="shared" si="4"/>
        <v>0</v>
      </c>
      <c r="G48" s="12"/>
    </row>
    <row r="49" spans="1:8" hidden="1" outlineLevel="1" x14ac:dyDescent="0.2">
      <c r="A49" s="12" t="s">
        <v>72</v>
      </c>
      <c r="B49" s="25" t="str">
        <f>IFERROR(VLOOKUP(A49,'Liste der Schlüsselfachkräfte'!$B$11:$D$34,3,0)&amp;" "&amp;VLOOKUP(A49,'Liste der Schlüsselfachkräfte'!$B$11:$D$34,2,0),"N.N.")</f>
        <v>N.N.</v>
      </c>
      <c r="C49" s="17" t="s">
        <v>31</v>
      </c>
      <c r="D49" s="10"/>
      <c r="E49" s="54"/>
      <c r="F49" s="57">
        <f t="shared" si="4"/>
        <v>0</v>
      </c>
      <c r="G49" s="12"/>
    </row>
    <row r="50" spans="1:8" hidden="1" outlineLevel="1" x14ac:dyDescent="0.2">
      <c r="A50" s="12" t="s">
        <v>74</v>
      </c>
      <c r="B50" s="25" t="str">
        <f>IFERROR(VLOOKUP(A50,'Liste der Schlüsselfachkräfte'!$B$11:$D$34,3,0)&amp;" "&amp;VLOOKUP(A50,'Liste der Schlüsselfachkräfte'!$B$11:$D$34,2,0),"N.N.")</f>
        <v>N.N.</v>
      </c>
      <c r="C50" s="17" t="s">
        <v>31</v>
      </c>
      <c r="D50" s="10"/>
      <c r="E50" s="54"/>
      <c r="F50" s="57">
        <f t="shared" ref="F50" si="6">D50*E50</f>
        <v>0</v>
      </c>
      <c r="G50" s="12"/>
    </row>
    <row r="51" spans="1:8" hidden="1" outlineLevel="1" x14ac:dyDescent="0.2">
      <c r="A51" s="12" t="s">
        <v>75</v>
      </c>
      <c r="B51" s="25" t="str">
        <f>IFERROR(VLOOKUP(A51,'Liste der Schlüsselfachkräfte'!$B$11:$D$34,3,0)&amp;" "&amp;VLOOKUP(A51,'Liste der Schlüsselfachkräfte'!$B$11:$D$34,2,0),"N.N.")</f>
        <v>N.N.</v>
      </c>
      <c r="C51" s="17" t="s">
        <v>31</v>
      </c>
      <c r="D51" s="10"/>
      <c r="E51" s="54"/>
      <c r="F51" s="57">
        <f t="shared" si="4"/>
        <v>0</v>
      </c>
      <c r="G51" s="12"/>
    </row>
    <row r="52" spans="1:8" s="2" customFormat="1" ht="5.25" hidden="1" outlineLevel="1" x14ac:dyDescent="0.2">
      <c r="C52" s="9"/>
    </row>
    <row r="53" spans="1:8" hidden="1" collapsed="1" x14ac:dyDescent="0.2">
      <c r="A53" s="6" t="s">
        <v>17</v>
      </c>
      <c r="B53" s="6"/>
      <c r="C53" s="6"/>
      <c r="D53" s="6"/>
      <c r="E53" s="6"/>
      <c r="F53" s="58">
        <f>SUM(F41:F52)</f>
        <v>0</v>
      </c>
      <c r="G53" s="6"/>
    </row>
    <row r="54" spans="1:8" s="2" customFormat="1" ht="5.25" hidden="1" x14ac:dyDescent="0.2"/>
    <row r="55" spans="1:8" s="16" customFormat="1" ht="8.25" x14ac:dyDescent="0.2"/>
    <row r="56" spans="1:8" x14ac:dyDescent="0.2">
      <c r="A56" s="5" t="s">
        <v>32</v>
      </c>
      <c r="B56" s="5"/>
      <c r="C56" s="5"/>
      <c r="D56" s="5"/>
      <c r="E56" s="5"/>
      <c r="F56" s="5"/>
      <c r="G56" s="5"/>
    </row>
    <row r="57" spans="1:8" x14ac:dyDescent="0.2">
      <c r="A57" s="43" t="s">
        <v>33</v>
      </c>
      <c r="B57" s="43"/>
      <c r="C57" s="43"/>
      <c r="D57" s="43"/>
      <c r="E57" s="43"/>
      <c r="F57" s="43"/>
      <c r="G57" s="43"/>
      <c r="H57" s="43"/>
    </row>
    <row r="58" spans="1:8" ht="24" customHeight="1" x14ac:dyDescent="0.2">
      <c r="A58" s="106" t="s">
        <v>96</v>
      </c>
      <c r="B58" s="107"/>
      <c r="C58" s="107"/>
      <c r="D58" s="107"/>
      <c r="E58" s="107"/>
      <c r="F58" s="107"/>
      <c r="G58" s="107"/>
      <c r="H58" s="26"/>
    </row>
    <row r="59" spans="1:8" ht="24" x14ac:dyDescent="0.2">
      <c r="A59" s="3" t="s">
        <v>6</v>
      </c>
      <c r="B59" s="3" t="s">
        <v>34</v>
      </c>
      <c r="C59" s="3" t="s">
        <v>20</v>
      </c>
      <c r="D59" s="3" t="s">
        <v>8</v>
      </c>
      <c r="E59" s="3" t="s">
        <v>35</v>
      </c>
      <c r="F59" s="3" t="s">
        <v>22</v>
      </c>
      <c r="G59" s="3" t="s">
        <v>11</v>
      </c>
    </row>
    <row r="60" spans="1:8" hidden="1" outlineLevel="1" x14ac:dyDescent="0.2">
      <c r="A60" s="12" t="s">
        <v>36</v>
      </c>
      <c r="B60" s="12"/>
      <c r="C60" s="12" t="s">
        <v>38</v>
      </c>
      <c r="D60" s="10"/>
      <c r="E60" s="54"/>
      <c r="F60" s="57">
        <f>D60*E60</f>
        <v>0</v>
      </c>
      <c r="G60" s="12"/>
    </row>
    <row r="61" spans="1:8" s="52" customFormat="1" ht="12" hidden="1" customHeight="1" outlineLevel="1" x14ac:dyDescent="0.2">
      <c r="A61" s="53" t="s">
        <v>76</v>
      </c>
      <c r="B61" s="51"/>
      <c r="C61" s="12" t="s">
        <v>38</v>
      </c>
      <c r="D61" s="10"/>
      <c r="E61" s="54"/>
      <c r="F61" s="57">
        <f t="shared" ref="F61:F66" si="7">D61*E61</f>
        <v>0</v>
      </c>
      <c r="G61" s="12"/>
    </row>
    <row r="62" spans="1:8" s="52" customFormat="1" ht="12" hidden="1" customHeight="1" outlineLevel="1" x14ac:dyDescent="0.2">
      <c r="A62" s="53" t="s">
        <v>77</v>
      </c>
      <c r="B62" s="51"/>
      <c r="C62" s="12" t="s">
        <v>38</v>
      </c>
      <c r="D62" s="10"/>
      <c r="E62" s="54"/>
      <c r="F62" s="57">
        <f t="shared" si="7"/>
        <v>0</v>
      </c>
      <c r="G62" s="12"/>
    </row>
    <row r="63" spans="1:8" s="52" customFormat="1" ht="12" hidden="1" customHeight="1" outlineLevel="1" x14ac:dyDescent="0.2">
      <c r="A63" s="55" t="s">
        <v>81</v>
      </c>
      <c r="B63" s="56"/>
      <c r="C63" s="56" t="s">
        <v>37</v>
      </c>
      <c r="D63" s="10"/>
      <c r="E63" s="54"/>
      <c r="F63" s="57">
        <f t="shared" si="7"/>
        <v>0</v>
      </c>
      <c r="G63" s="12"/>
    </row>
    <row r="64" spans="1:8" ht="24" outlineLevel="1" x14ac:dyDescent="0.2">
      <c r="A64" s="12" t="s">
        <v>39</v>
      </c>
      <c r="B64" s="12"/>
      <c r="C64" s="12" t="s">
        <v>37</v>
      </c>
      <c r="D64" s="10">
        <v>54</v>
      </c>
      <c r="E64" s="54">
        <v>250</v>
      </c>
      <c r="F64" s="57">
        <f t="shared" si="7"/>
        <v>13500</v>
      </c>
      <c r="G64" s="12" t="s">
        <v>99</v>
      </c>
    </row>
    <row r="65" spans="1:7" outlineLevel="1" x14ac:dyDescent="0.2">
      <c r="A65" s="12" t="s">
        <v>40</v>
      </c>
      <c r="B65" s="12"/>
      <c r="C65" s="12" t="s">
        <v>31</v>
      </c>
      <c r="D65" s="10">
        <v>54</v>
      </c>
      <c r="E65" s="54">
        <v>28</v>
      </c>
      <c r="F65" s="57">
        <f t="shared" si="7"/>
        <v>1512</v>
      </c>
      <c r="G65" s="12"/>
    </row>
    <row r="66" spans="1:7" outlineLevel="1" x14ac:dyDescent="0.2">
      <c r="A66" s="12" t="s">
        <v>41</v>
      </c>
      <c r="B66" s="12"/>
      <c r="C66" s="12" t="s">
        <v>37</v>
      </c>
      <c r="D66" s="10">
        <v>54</v>
      </c>
      <c r="E66" s="54">
        <v>139</v>
      </c>
      <c r="F66" s="57">
        <f t="shared" si="7"/>
        <v>7506</v>
      </c>
      <c r="G66" s="12"/>
    </row>
    <row r="67" spans="1:7" hidden="1" outlineLevel="1" x14ac:dyDescent="0.2">
      <c r="A67" s="12" t="s">
        <v>42</v>
      </c>
      <c r="B67" s="12"/>
      <c r="C67" s="12" t="s">
        <v>38</v>
      </c>
      <c r="D67" s="10"/>
      <c r="E67" s="54"/>
      <c r="F67" s="57">
        <f t="shared" ref="F67:F73" si="8">D67*E67</f>
        <v>0</v>
      </c>
      <c r="G67" s="12"/>
    </row>
    <row r="68" spans="1:7" hidden="1" outlineLevel="1" x14ac:dyDescent="0.2">
      <c r="A68" s="12" t="s">
        <v>42</v>
      </c>
      <c r="B68" s="12"/>
      <c r="C68" s="12" t="s">
        <v>38</v>
      </c>
      <c r="D68" s="10"/>
      <c r="E68" s="54"/>
      <c r="F68" s="57">
        <f t="shared" si="8"/>
        <v>0</v>
      </c>
      <c r="G68" s="12"/>
    </row>
    <row r="69" spans="1:7" hidden="1" outlineLevel="1" x14ac:dyDescent="0.2">
      <c r="A69" s="12" t="s">
        <v>42</v>
      </c>
      <c r="B69" s="12"/>
      <c r="C69" s="12" t="s">
        <v>38</v>
      </c>
      <c r="D69" s="10"/>
      <c r="E69" s="54"/>
      <c r="F69" s="57">
        <f t="shared" si="8"/>
        <v>0</v>
      </c>
      <c r="G69" s="12"/>
    </row>
    <row r="70" spans="1:7" hidden="1" outlineLevel="1" x14ac:dyDescent="0.2">
      <c r="A70" s="12" t="s">
        <v>42</v>
      </c>
      <c r="B70" s="12"/>
      <c r="C70" s="12" t="s">
        <v>38</v>
      </c>
      <c r="D70" s="10"/>
      <c r="E70" s="54"/>
      <c r="F70" s="57">
        <f t="shared" si="8"/>
        <v>0</v>
      </c>
      <c r="G70" s="12"/>
    </row>
    <row r="71" spans="1:7" hidden="1" outlineLevel="1" x14ac:dyDescent="0.2">
      <c r="A71" s="12"/>
      <c r="B71" s="12"/>
      <c r="C71" s="12" t="s">
        <v>38</v>
      </c>
      <c r="D71" s="10"/>
      <c r="E71" s="54"/>
      <c r="F71" s="57">
        <f t="shared" si="8"/>
        <v>0</v>
      </c>
      <c r="G71" s="12"/>
    </row>
    <row r="72" spans="1:7" hidden="1" outlineLevel="1" x14ac:dyDescent="0.2">
      <c r="A72" s="12"/>
      <c r="B72" s="12"/>
      <c r="C72" s="12" t="s">
        <v>38</v>
      </c>
      <c r="D72" s="10"/>
      <c r="E72" s="54"/>
      <c r="F72" s="57">
        <f t="shared" si="8"/>
        <v>0</v>
      </c>
      <c r="G72" s="12"/>
    </row>
    <row r="73" spans="1:7" hidden="1" outlineLevel="1" x14ac:dyDescent="0.2">
      <c r="A73" s="12"/>
      <c r="B73" s="12"/>
      <c r="C73" s="12" t="s">
        <v>38</v>
      </c>
      <c r="D73" s="10"/>
      <c r="E73" s="54"/>
      <c r="F73" s="57">
        <f t="shared" si="8"/>
        <v>0</v>
      </c>
      <c r="G73" s="12"/>
    </row>
    <row r="74" spans="1:7" s="2" customFormat="1" ht="3.75" customHeight="1" outlineLevel="1" x14ac:dyDescent="0.2">
      <c r="C74" s="9"/>
    </row>
    <row r="75" spans="1:7" x14ac:dyDescent="0.2">
      <c r="A75" s="6" t="s">
        <v>17</v>
      </c>
      <c r="B75" s="6"/>
      <c r="C75" s="6"/>
      <c r="D75" s="6"/>
      <c r="E75" s="6"/>
      <c r="F75" s="58">
        <f>SUM(F60:F74)</f>
        <v>22518</v>
      </c>
      <c r="G75" s="6"/>
    </row>
    <row r="76" spans="1:7" s="16" customFormat="1" ht="8.25" x14ac:dyDescent="0.2"/>
    <row r="77" spans="1:7" x14ac:dyDescent="0.2">
      <c r="A77" s="5" t="s">
        <v>43</v>
      </c>
      <c r="B77" s="5"/>
      <c r="C77" s="5"/>
      <c r="D77" s="5"/>
      <c r="E77" s="5"/>
      <c r="F77" s="5"/>
      <c r="G77" s="5"/>
    </row>
    <row r="78" spans="1:7" s="20" customFormat="1" ht="6" outlineLevel="1" x14ac:dyDescent="0.2"/>
    <row r="79" spans="1:7" ht="24" outlineLevel="1" x14ac:dyDescent="0.2">
      <c r="A79" s="3" t="s">
        <v>6</v>
      </c>
      <c r="B79" s="3"/>
      <c r="C79" s="3" t="s">
        <v>29</v>
      </c>
      <c r="D79" s="3" t="s">
        <v>8</v>
      </c>
      <c r="E79" s="3" t="s">
        <v>35</v>
      </c>
      <c r="F79" s="3" t="s">
        <v>22</v>
      </c>
      <c r="G79" s="3" t="s">
        <v>11</v>
      </c>
    </row>
    <row r="80" spans="1:7" hidden="1" outlineLevel="1" x14ac:dyDescent="0.2">
      <c r="A80" s="12" t="s">
        <v>44</v>
      </c>
      <c r="B80" s="7"/>
      <c r="C80" s="12" t="s">
        <v>38</v>
      </c>
      <c r="D80" s="10"/>
      <c r="E80" s="54"/>
      <c r="F80" s="57">
        <f>D80*E80</f>
        <v>0</v>
      </c>
      <c r="G80" s="12"/>
    </row>
    <row r="81" spans="1:7" hidden="1" outlineLevel="1" x14ac:dyDescent="0.2">
      <c r="A81" s="12" t="s">
        <v>45</v>
      </c>
      <c r="B81" s="7"/>
      <c r="C81" s="12" t="s">
        <v>38</v>
      </c>
      <c r="D81" s="10"/>
      <c r="E81" s="54"/>
      <c r="F81" s="57">
        <f t="shared" ref="F81:F84" si="9">D81*E81</f>
        <v>0</v>
      </c>
      <c r="G81" s="12"/>
    </row>
    <row r="82" spans="1:7" hidden="1" outlineLevel="1" x14ac:dyDescent="0.2">
      <c r="A82" s="12" t="s">
        <v>46</v>
      </c>
      <c r="B82" s="7"/>
      <c r="C82" s="12" t="s">
        <v>38</v>
      </c>
      <c r="D82" s="10"/>
      <c r="E82" s="54"/>
      <c r="F82" s="57">
        <f t="shared" si="9"/>
        <v>0</v>
      </c>
      <c r="G82" s="12"/>
    </row>
    <row r="83" spans="1:7" hidden="1" outlineLevel="1" x14ac:dyDescent="0.2">
      <c r="A83" s="12" t="s">
        <v>47</v>
      </c>
      <c r="B83" s="7"/>
      <c r="C83" s="12" t="s">
        <v>38</v>
      </c>
      <c r="D83" s="10"/>
      <c r="E83" s="54"/>
      <c r="F83" s="57">
        <f>D83*E83</f>
        <v>0</v>
      </c>
      <c r="G83" s="12"/>
    </row>
    <row r="84" spans="1:7" hidden="1" outlineLevel="1" x14ac:dyDescent="0.2">
      <c r="A84" s="11" t="s">
        <v>48</v>
      </c>
      <c r="B84" s="7"/>
      <c r="C84" s="7" t="s">
        <v>37</v>
      </c>
      <c r="D84" s="10"/>
      <c r="E84" s="54"/>
      <c r="F84" s="57">
        <f t="shared" si="9"/>
        <v>0</v>
      </c>
      <c r="G84" s="12"/>
    </row>
    <row r="85" spans="1:7" outlineLevel="1" x14ac:dyDescent="0.2">
      <c r="A85" s="47" t="s">
        <v>50</v>
      </c>
      <c r="B85" s="7"/>
      <c r="C85" s="7" t="s">
        <v>37</v>
      </c>
      <c r="D85" s="10">
        <v>1</v>
      </c>
      <c r="E85" s="54">
        <v>6500</v>
      </c>
      <c r="F85" s="57">
        <f>D85*E85</f>
        <v>6500</v>
      </c>
      <c r="G85" s="12"/>
    </row>
    <row r="86" spans="1:7" hidden="1" outlineLevel="1" x14ac:dyDescent="0.2">
      <c r="A86" s="12" t="s">
        <v>49</v>
      </c>
      <c r="B86" s="7"/>
      <c r="C86" s="12" t="s">
        <v>38</v>
      </c>
      <c r="D86" s="10"/>
      <c r="E86" s="54"/>
      <c r="F86" s="57">
        <f>D86*E86</f>
        <v>0</v>
      </c>
      <c r="G86" s="12"/>
    </row>
    <row r="87" spans="1:7" hidden="1" outlineLevel="1" x14ac:dyDescent="0.2">
      <c r="A87" s="12" t="s">
        <v>49</v>
      </c>
      <c r="B87" s="7"/>
      <c r="C87" s="12" t="s">
        <v>38</v>
      </c>
      <c r="D87" s="10"/>
      <c r="E87" s="54"/>
      <c r="F87" s="57">
        <f>D87*E87</f>
        <v>0</v>
      </c>
      <c r="G87" s="12"/>
    </row>
    <row r="88" spans="1:7" hidden="1" outlineLevel="1" x14ac:dyDescent="0.2">
      <c r="A88" s="12"/>
      <c r="B88" s="7"/>
      <c r="C88" s="12" t="s">
        <v>38</v>
      </c>
      <c r="D88" s="10"/>
      <c r="E88" s="54"/>
      <c r="F88" s="57">
        <f>D88*E88</f>
        <v>0</v>
      </c>
      <c r="G88" s="12"/>
    </row>
    <row r="89" spans="1:7" hidden="1" outlineLevel="1" x14ac:dyDescent="0.2">
      <c r="A89" s="12"/>
      <c r="B89" s="7"/>
      <c r="C89" s="12" t="s">
        <v>38</v>
      </c>
      <c r="D89" s="10"/>
      <c r="E89" s="54"/>
      <c r="F89" s="57">
        <f>D89*E89</f>
        <v>0</v>
      </c>
      <c r="G89" s="12"/>
    </row>
    <row r="90" spans="1:7" hidden="1" outlineLevel="1" x14ac:dyDescent="0.2">
      <c r="A90" s="12"/>
      <c r="B90" s="7"/>
      <c r="C90" s="12" t="s">
        <v>38</v>
      </c>
      <c r="D90" s="10"/>
      <c r="E90" s="54"/>
      <c r="F90" s="57">
        <f t="shared" ref="F90:F92" si="10">D90*E90</f>
        <v>0</v>
      </c>
      <c r="G90" s="12"/>
    </row>
    <row r="91" spans="1:7" hidden="1" outlineLevel="1" x14ac:dyDescent="0.2">
      <c r="A91" s="12"/>
      <c r="B91" s="7"/>
      <c r="C91" s="12" t="s">
        <v>38</v>
      </c>
      <c r="D91" s="10"/>
      <c r="E91" s="54"/>
      <c r="F91" s="57">
        <f t="shared" si="10"/>
        <v>0</v>
      </c>
      <c r="G91" s="12"/>
    </row>
    <row r="92" spans="1:7" hidden="1" outlineLevel="1" x14ac:dyDescent="0.2">
      <c r="A92" s="12"/>
      <c r="B92" s="7"/>
      <c r="C92" s="12" t="s">
        <v>38</v>
      </c>
      <c r="D92" s="10"/>
      <c r="E92" s="54"/>
      <c r="F92" s="57">
        <f t="shared" si="10"/>
        <v>0</v>
      </c>
      <c r="G92" s="12"/>
    </row>
    <row r="93" spans="1:7" s="2" customFormat="1" ht="5.25" outlineLevel="1" x14ac:dyDescent="0.2"/>
    <row r="94" spans="1:7" x14ac:dyDescent="0.2">
      <c r="A94" s="6" t="s">
        <v>17</v>
      </c>
      <c r="B94" s="6"/>
      <c r="C94" s="6"/>
      <c r="D94" s="6"/>
      <c r="E94" s="6"/>
      <c r="F94" s="58">
        <f>SUM(F80:F93)</f>
        <v>6500</v>
      </c>
      <c r="G94" s="6"/>
    </row>
    <row r="95" spans="1:7" s="16" customFormat="1" ht="5.45" customHeight="1" x14ac:dyDescent="0.2"/>
    <row r="96" spans="1:7" x14ac:dyDescent="0.2">
      <c r="A96" s="5" t="s">
        <v>51</v>
      </c>
      <c r="B96" s="5"/>
      <c r="C96" s="5"/>
      <c r="D96" s="5"/>
      <c r="E96" s="5"/>
      <c r="F96" s="5"/>
      <c r="G96" s="5"/>
    </row>
    <row r="97" spans="1:7" s="20" customFormat="1" ht="6" x14ac:dyDescent="0.2"/>
    <row r="98" spans="1:7" x14ac:dyDescent="0.2">
      <c r="A98" s="6" t="s">
        <v>52</v>
      </c>
      <c r="B98" s="6"/>
      <c r="C98" s="6"/>
      <c r="D98" s="6"/>
      <c r="E98" s="6"/>
      <c r="F98" s="58">
        <f>F94+F75+F53+F21+F38</f>
        <v>29018</v>
      </c>
      <c r="G98" s="6"/>
    </row>
    <row r="99" spans="1:7" s="16" customFormat="1" ht="8.25" x14ac:dyDescent="0.2"/>
    <row r="100" spans="1:7" s="16" customFormat="1" ht="8.25" x14ac:dyDescent="0.2"/>
    <row r="101" spans="1:7" s="18" customFormat="1" ht="9" x14ac:dyDescent="0.2"/>
    <row r="102" spans="1:7" x14ac:dyDescent="0.2">
      <c r="A102" s="1"/>
    </row>
    <row r="103" spans="1:7" x14ac:dyDescent="0.2">
      <c r="A103" s="44"/>
      <c r="B103" s="45"/>
      <c r="C103" s="45"/>
      <c r="D103" s="45"/>
      <c r="E103" s="45"/>
      <c r="F103" s="45"/>
      <c r="G103" s="45"/>
    </row>
    <row r="104" spans="1:7" x14ac:dyDescent="0.2">
      <c r="A104" s="35"/>
      <c r="B104" s="36"/>
      <c r="C104" s="36"/>
      <c r="D104" s="36"/>
      <c r="E104" s="36"/>
      <c r="F104" s="36"/>
      <c r="G104" s="36"/>
    </row>
    <row r="105" spans="1:7" x14ac:dyDescent="0.2">
      <c r="A105" s="35"/>
      <c r="B105" s="36"/>
      <c r="C105" s="36"/>
      <c r="D105" s="36"/>
      <c r="E105" s="36"/>
      <c r="F105" s="36"/>
      <c r="G105" s="36"/>
    </row>
    <row r="106" spans="1:7" ht="11.45" customHeight="1" x14ac:dyDescent="0.2">
      <c r="A106" s="35" t="s">
        <v>53</v>
      </c>
      <c r="B106" s="36"/>
      <c r="C106" s="36"/>
      <c r="D106" s="36"/>
      <c r="E106" s="36"/>
      <c r="F106" s="36"/>
      <c r="G106" s="36"/>
    </row>
    <row r="107" spans="1:7" ht="11.45" customHeight="1" x14ac:dyDescent="0.2">
      <c r="A107" s="35" t="s">
        <v>54</v>
      </c>
      <c r="B107" s="36"/>
      <c r="C107" s="36"/>
      <c r="D107" s="36"/>
      <c r="E107" s="36"/>
      <c r="F107" s="36"/>
      <c r="G107" s="36"/>
    </row>
    <row r="108" spans="1:7" x14ac:dyDescent="0.2">
      <c r="A108" s="46"/>
      <c r="B108" s="36"/>
      <c r="C108" s="36"/>
      <c r="D108" s="36"/>
      <c r="E108" s="36"/>
      <c r="F108" s="36"/>
      <c r="G108" s="36"/>
    </row>
    <row r="109" spans="1:7" x14ac:dyDescent="0.2">
      <c r="A109" s="42"/>
      <c r="B109" s="42"/>
      <c r="C109" s="42"/>
      <c r="D109" s="42"/>
      <c r="E109" s="42"/>
      <c r="F109" s="42"/>
      <c r="G109" s="42"/>
    </row>
    <row r="110" spans="1:7" x14ac:dyDescent="0.2">
      <c r="A110" s="42"/>
      <c r="B110" s="42"/>
      <c r="C110" s="42"/>
      <c r="D110" s="42"/>
      <c r="E110" s="42"/>
      <c r="F110" s="42"/>
      <c r="G110" s="42"/>
    </row>
  </sheetData>
  <sheetProtection algorithmName="SHA-512" hashValue="2vk39dZHPYP9fLUtyvvNW5qiBfy8QMYmBTqb+ad3fRJjTje9ih/u8zlaSwtppFGTmkpLrtwNMzU8iMUYSMX5lQ==" saltValue="//GBKR232PReWtXBwWQ5sg==" spinCount="100000" sheet="1" formatRows="0"/>
  <mergeCells count="5">
    <mergeCell ref="D7:G7"/>
    <mergeCell ref="A58:G58"/>
    <mergeCell ref="A1:F1"/>
    <mergeCell ref="D3:E3"/>
    <mergeCell ref="D5:G5"/>
  </mergeCells>
  <phoneticPr fontId="10" type="noConversion"/>
  <dataValidations count="4">
    <dataValidation type="date" operator="greaterThanOrEqual" allowBlank="1" showInputMessage="1" showErrorMessage="1" sqref="D3" xr:uid="{41FE3A5A-753D-4048-9FFC-0A40395F41A9}">
      <formula1>1</formula1>
    </dataValidation>
    <dataValidation type="list" allowBlank="1" showInputMessage="1" showErrorMessage="1" sqref="C64:C73 C60:C62 C80:C83 C86:C92" xr:uid="{DAFEB265-62B2-4BF1-875C-41802D0C10D3}">
      <formula1>Erstattungsart</formula1>
    </dataValidation>
    <dataValidation type="list" allowBlank="1" showInputMessage="1" sqref="A41:A46" xr:uid="{EB160668-FC04-4C26-A54B-F61B9E235A5F}">
      <formula1>lSFK</formula1>
    </dataValidation>
    <dataValidation type="list" showInputMessage="1" sqref="A26:A36 A47:A51" xr:uid="{A64BBB28-6585-4414-842C-C821C9862AEE}">
      <formula1>lSFK</formula1>
    </dataValidation>
  </dataValidations>
  <hyperlinks>
    <hyperlink ref="A58" r:id="rId1" xr:uid="{01D940CD-883A-489A-9F01-8C9A97E38764}"/>
  </hyperlinks>
  <pageMargins left="0.51181102362204722" right="0.51181102362204722" top="0.11811023622047245" bottom="0.39370078740157483" header="0.11811023622047245" footer="0.15748031496062992"/>
  <pageSetup paperSize="9" fitToWidth="0" fitToHeight="2" orientation="landscape" r:id="rId2"/>
  <headerFooter differentFirst="1">
    <oddFooter>&amp;LForm 42-11-6-de&amp;C&amp;7&amp;P / &amp;N</oddFooter>
    <firstFooter>&amp;LForm 42-11-6-de</firstFooter>
  </headerFooter>
  <rowBreaks count="1" manualBreakCount="1">
    <brk id="54" max="6" man="1"/>
  </rowBrea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8FB1-C395-4DE7-8C1A-E617CDF54D44}">
  <dimension ref="A1:N110"/>
  <sheetViews>
    <sheetView showGridLines="0" zoomScale="90" zoomScaleNormal="90" workbookViewId="0">
      <selection sqref="A1:F1"/>
    </sheetView>
  </sheetViews>
  <sheetFormatPr baseColWidth="10" defaultColWidth="11.42578125" defaultRowHeight="12" outlineLevelRow="2" x14ac:dyDescent="0.2"/>
  <cols>
    <col min="1" max="1" width="35.28515625" customWidth="1"/>
    <col min="2" max="2" width="16.28515625" customWidth="1"/>
    <col min="3" max="3" width="19.5703125" customWidth="1"/>
    <col min="4" max="4" width="9.28515625" customWidth="1"/>
    <col min="5" max="5" width="10.85546875" customWidth="1"/>
    <col min="6" max="6" width="18.42578125" customWidth="1"/>
    <col min="7" max="7" width="31.28515625" customWidth="1"/>
    <col min="8" max="8" width="2" customWidth="1"/>
    <col min="9" max="9" width="5.7109375" customWidth="1"/>
    <col min="10" max="10" width="11.42578125" customWidth="1"/>
    <col min="11" max="11" width="9.42578125" customWidth="1"/>
    <col min="12" max="12" width="5.28515625" customWidth="1"/>
    <col min="14" max="14" width="34.85546875" customWidth="1"/>
  </cols>
  <sheetData>
    <row r="1" spans="1:14" ht="67.5" customHeight="1" x14ac:dyDescent="0.2">
      <c r="A1" s="108" t="s">
        <v>92</v>
      </c>
      <c r="B1" s="109"/>
      <c r="C1" s="109"/>
      <c r="D1" s="109"/>
      <c r="E1" s="109"/>
      <c r="F1" s="109"/>
      <c r="G1" s="49"/>
      <c r="H1" s="48"/>
    </row>
    <row r="2" spans="1:14" s="2" customFormat="1" ht="5.25" x14ac:dyDescent="0.2">
      <c r="A2" s="27"/>
    </row>
    <row r="3" spans="1:14" ht="11.45" customHeight="1" x14ac:dyDescent="0.2">
      <c r="A3" s="28" t="s">
        <v>0</v>
      </c>
      <c r="B3" s="59" t="str">
        <f>'Preisblatt | Leistung'!B3</f>
        <v>81311588</v>
      </c>
      <c r="C3" s="29" t="s">
        <v>1</v>
      </c>
      <c r="D3" s="113">
        <f>'Preisblatt | Leistung'!D3</f>
        <v>0</v>
      </c>
      <c r="E3" s="113"/>
      <c r="F3" s="29"/>
      <c r="G3" s="15"/>
    </row>
    <row r="4" spans="1:14" s="2" customFormat="1" ht="5.25" customHeight="1" x14ac:dyDescent="0.2">
      <c r="A4" s="27"/>
      <c r="C4" s="30"/>
      <c r="D4" s="9"/>
      <c r="E4" s="9"/>
      <c r="F4" s="9"/>
      <c r="G4" s="9"/>
    </row>
    <row r="5" spans="1:14" ht="11.45" customHeight="1" x14ac:dyDescent="0.2">
      <c r="A5" s="31" t="s">
        <v>91</v>
      </c>
      <c r="B5" s="59" t="str">
        <f>'Preisblatt | Leistung'!B5</f>
        <v>15590</v>
      </c>
      <c r="C5" s="29" t="s">
        <v>3</v>
      </c>
      <c r="D5" s="114">
        <f>'Preisblatt | Leistung'!D5</f>
        <v>0</v>
      </c>
      <c r="E5" s="115"/>
      <c r="F5" s="115"/>
      <c r="G5" s="115"/>
    </row>
    <row r="6" spans="1:14" s="2" customFormat="1" ht="3.6" customHeight="1" x14ac:dyDescent="0.2">
      <c r="A6" s="27"/>
      <c r="C6" s="30"/>
    </row>
    <row r="7" spans="1:14" ht="35.25" customHeight="1" x14ac:dyDescent="0.2">
      <c r="A7" s="32"/>
      <c r="B7" s="60"/>
      <c r="C7" s="29" t="s">
        <v>4</v>
      </c>
      <c r="D7" s="112">
        <f>'Preisblatt | Leistung'!D7</f>
        <v>0</v>
      </c>
      <c r="E7" s="107"/>
      <c r="F7" s="107"/>
      <c r="G7" s="107"/>
    </row>
    <row r="8" spans="1:14" s="18" customFormat="1" ht="9" customHeight="1" x14ac:dyDescent="0.2">
      <c r="A8" s="33"/>
      <c r="B8" s="34"/>
      <c r="C8" s="34"/>
      <c r="D8" s="34"/>
      <c r="E8" s="34"/>
      <c r="F8" s="34"/>
      <c r="G8" s="34"/>
      <c r="H8" s="101"/>
    </row>
    <row r="9" spans="1:14" ht="11.45" customHeight="1" x14ac:dyDescent="0.2">
      <c r="A9" s="5" t="s">
        <v>5</v>
      </c>
      <c r="B9" s="5"/>
      <c r="C9" s="5"/>
      <c r="D9" s="5"/>
      <c r="E9" s="5"/>
      <c r="F9" s="5"/>
      <c r="G9" s="5"/>
      <c r="H9" s="102"/>
    </row>
    <row r="10" spans="1:14" s="20" customFormat="1" ht="5.0999999999999996" customHeight="1" outlineLevel="2" x14ac:dyDescent="0.2"/>
    <row r="11" spans="1:14" ht="11.45" customHeight="1" outlineLevel="2" x14ac:dyDescent="0.2">
      <c r="A11" s="3" t="s">
        <v>6</v>
      </c>
      <c r="B11" s="37" t="s">
        <v>7</v>
      </c>
      <c r="C11" s="38"/>
      <c r="D11" s="3" t="s">
        <v>8</v>
      </c>
      <c r="E11" s="3" t="s">
        <v>9</v>
      </c>
      <c r="F11" s="3" t="s">
        <v>10</v>
      </c>
      <c r="G11" s="3" t="s">
        <v>11</v>
      </c>
    </row>
    <row r="12" spans="1:14" outlineLevel="2" x14ac:dyDescent="0.2">
      <c r="A12" s="12" t="s">
        <v>12</v>
      </c>
      <c r="B12" s="40"/>
      <c r="C12" s="41"/>
      <c r="D12" s="10"/>
      <c r="E12" s="54"/>
      <c r="F12" s="57">
        <f>D12*E12</f>
        <v>0</v>
      </c>
      <c r="G12" s="12"/>
    </row>
    <row r="13" spans="1:14" outlineLevel="2" x14ac:dyDescent="0.2">
      <c r="A13" s="12" t="s">
        <v>13</v>
      </c>
      <c r="B13" s="40"/>
      <c r="C13" s="41"/>
      <c r="D13" s="10"/>
      <c r="E13" s="54"/>
      <c r="F13" s="57">
        <f>D13*E13</f>
        <v>0</v>
      </c>
      <c r="G13" s="12"/>
      <c r="N13" s="21"/>
    </row>
    <row r="14" spans="1:14" outlineLevel="2" x14ac:dyDescent="0.2">
      <c r="A14" s="12" t="s">
        <v>14</v>
      </c>
      <c r="B14" s="40"/>
      <c r="C14" s="41"/>
      <c r="D14" s="10"/>
      <c r="E14" s="54"/>
      <c r="F14" s="57">
        <f t="shared" ref="F14:F19" si="0">D14*E14</f>
        <v>0</v>
      </c>
      <c r="G14" s="12"/>
      <c r="N14" s="21"/>
    </row>
    <row r="15" spans="1:14" outlineLevel="2" x14ac:dyDescent="0.2">
      <c r="A15" s="12" t="s">
        <v>15</v>
      </c>
      <c r="B15" s="40"/>
      <c r="C15" s="41"/>
      <c r="D15" s="10"/>
      <c r="E15" s="54"/>
      <c r="F15" s="57">
        <f t="shared" si="0"/>
        <v>0</v>
      </c>
      <c r="G15" s="12"/>
      <c r="N15" s="21"/>
    </row>
    <row r="16" spans="1:14" outlineLevel="2" x14ac:dyDescent="0.2">
      <c r="A16" s="12" t="s">
        <v>16</v>
      </c>
      <c r="B16" s="40"/>
      <c r="C16" s="41"/>
      <c r="D16" s="10"/>
      <c r="E16" s="54"/>
      <c r="F16" s="57">
        <f t="shared" si="0"/>
        <v>0</v>
      </c>
      <c r="G16" s="12"/>
      <c r="N16" s="21"/>
    </row>
    <row r="17" spans="1:14" outlineLevel="2" x14ac:dyDescent="0.2">
      <c r="A17" s="12" t="s">
        <v>78</v>
      </c>
      <c r="B17" s="40"/>
      <c r="C17" s="41"/>
      <c r="D17" s="10"/>
      <c r="E17" s="54"/>
      <c r="F17" s="57">
        <f t="shared" si="0"/>
        <v>0</v>
      </c>
      <c r="G17" s="12"/>
      <c r="N17" s="21"/>
    </row>
    <row r="18" spans="1:14" outlineLevel="2" x14ac:dyDescent="0.2">
      <c r="A18" s="12" t="s">
        <v>79</v>
      </c>
      <c r="B18" s="40"/>
      <c r="C18" s="41"/>
      <c r="D18" s="10"/>
      <c r="E18" s="54"/>
      <c r="F18" s="57">
        <f t="shared" si="0"/>
        <v>0</v>
      </c>
      <c r="G18" s="12"/>
      <c r="N18" s="21"/>
    </row>
    <row r="19" spans="1:14" outlineLevel="2" x14ac:dyDescent="0.2">
      <c r="A19" s="12" t="s">
        <v>80</v>
      </c>
      <c r="B19" s="40"/>
      <c r="C19" s="41"/>
      <c r="D19" s="10"/>
      <c r="E19" s="54"/>
      <c r="F19" s="57">
        <f t="shared" si="0"/>
        <v>0</v>
      </c>
      <c r="G19" s="12"/>
      <c r="N19" s="21"/>
    </row>
    <row r="20" spans="1:14" s="2" customFormat="1" ht="3.6" customHeight="1" outlineLevel="2" x14ac:dyDescent="0.2">
      <c r="C20" s="9"/>
    </row>
    <row r="21" spans="1:14" ht="11.45" customHeight="1" x14ac:dyDescent="0.2">
      <c r="A21" s="6" t="s">
        <v>17</v>
      </c>
      <c r="B21" s="6"/>
      <c r="C21" s="6"/>
      <c r="D21" s="6"/>
      <c r="E21" s="6"/>
      <c r="F21" s="58">
        <f>SUM(F12:F20)</f>
        <v>0</v>
      </c>
      <c r="G21" s="6"/>
    </row>
    <row r="22" spans="1:14" s="16" customFormat="1" ht="17.100000000000001" customHeight="1" x14ac:dyDescent="0.2"/>
    <row r="23" spans="1:14" x14ac:dyDescent="0.2">
      <c r="A23" s="5" t="s">
        <v>73</v>
      </c>
      <c r="B23" s="5"/>
      <c r="C23" s="5"/>
      <c r="D23" s="5"/>
      <c r="E23" s="5"/>
      <c r="F23" s="5"/>
      <c r="G23" s="5"/>
    </row>
    <row r="24" spans="1:14" s="20" customFormat="1" ht="5.45" customHeight="1" x14ac:dyDescent="0.2"/>
    <row r="25" spans="1:14" ht="24" x14ac:dyDescent="0.2">
      <c r="A25" s="22" t="s">
        <v>18</v>
      </c>
      <c r="B25" s="3" t="s">
        <v>19</v>
      </c>
      <c r="C25" s="3" t="s">
        <v>20</v>
      </c>
      <c r="D25" s="3" t="s">
        <v>21</v>
      </c>
      <c r="E25" s="3" t="s">
        <v>9</v>
      </c>
      <c r="F25" s="3" t="s">
        <v>22</v>
      </c>
      <c r="G25" s="3" t="s">
        <v>11</v>
      </c>
    </row>
    <row r="26" spans="1:14" x14ac:dyDescent="0.2">
      <c r="A26" s="12" t="s">
        <v>23</v>
      </c>
      <c r="B26" s="24" t="str">
        <f>IFERROR(VLOOKUP(A26,'Liste der Schlüsselfachkräfte'!$B$11:$D$34,3,0)&amp;" "&amp;VLOOKUP(A26,'Liste der Schlüsselfachkräfte'!$B$11:$D$34,2,0),"N.N.")</f>
        <v xml:space="preserve"> </v>
      </c>
      <c r="C26" s="8" t="s">
        <v>24</v>
      </c>
      <c r="D26" s="10"/>
      <c r="E26" s="54"/>
      <c r="F26" s="57">
        <f>D26*E26</f>
        <v>0</v>
      </c>
      <c r="G26" s="12"/>
    </row>
    <row r="27" spans="1:14" x14ac:dyDescent="0.2">
      <c r="A27" s="12" t="s">
        <v>25</v>
      </c>
      <c r="B27" s="24" t="str">
        <f>IFERROR(VLOOKUP(A27,'Liste der Schlüsselfachkräfte'!$B$11:$D$34,3,0)&amp;" "&amp;VLOOKUP(A27,'Liste der Schlüsselfachkräfte'!$B$11:$D$34,2,0),"N.N.")</f>
        <v xml:space="preserve">  </v>
      </c>
      <c r="C27" s="8" t="s">
        <v>24</v>
      </c>
      <c r="D27" s="10"/>
      <c r="E27" s="54"/>
      <c r="F27" s="57">
        <f t="shared" ref="F27:F36" si="1">D27*E27</f>
        <v>0</v>
      </c>
      <c r="G27" s="12"/>
    </row>
    <row r="28" spans="1:14" outlineLevel="1" x14ac:dyDescent="0.2">
      <c r="A28" s="12" t="s">
        <v>26</v>
      </c>
      <c r="B28" s="24" t="str">
        <f>IFERROR(VLOOKUP(A28,'Liste der Schlüsselfachkräfte'!$B$11:$D$34,3,0)&amp;" "&amp;VLOOKUP(A28,'Liste der Schlüsselfachkräfte'!$B$11:$D$34,2,0),"N.N.")</f>
        <v xml:space="preserve"> </v>
      </c>
      <c r="C28" s="8" t="s">
        <v>24</v>
      </c>
      <c r="D28" s="10"/>
      <c r="E28" s="54"/>
      <c r="F28" s="57">
        <f t="shared" si="1"/>
        <v>0</v>
      </c>
      <c r="G28" s="12"/>
    </row>
    <row r="29" spans="1:14" outlineLevel="1" x14ac:dyDescent="0.2">
      <c r="A29" s="12" t="s">
        <v>27</v>
      </c>
      <c r="B29" s="24" t="str">
        <f>IFERROR(VLOOKUP(A29,'Liste der Schlüsselfachkräfte'!$B$11:$D$34,3,0)&amp;" "&amp;VLOOKUP(A29,'Liste der Schlüsselfachkräfte'!$B$11:$D$34,2,0),"N.N.")</f>
        <v xml:space="preserve"> </v>
      </c>
      <c r="C29" s="8" t="s">
        <v>24</v>
      </c>
      <c r="D29" s="10"/>
      <c r="E29" s="54"/>
      <c r="F29" s="57">
        <f t="shared" si="1"/>
        <v>0</v>
      </c>
      <c r="G29" s="12"/>
    </row>
    <row r="30" spans="1:14" outlineLevel="1" x14ac:dyDescent="0.2">
      <c r="A30" s="12" t="s">
        <v>65</v>
      </c>
      <c r="B30" s="24" t="str">
        <f>IFERROR(VLOOKUP(A30,'Liste der Schlüsselfachkräfte'!$B$11:$D$34,3,0)&amp;" "&amp;VLOOKUP(A30,'Liste der Schlüsselfachkräfte'!$B$11:$D$34,2,0),"N.N.")</f>
        <v xml:space="preserve"> </v>
      </c>
      <c r="C30" s="8" t="s">
        <v>24</v>
      </c>
      <c r="D30" s="10"/>
      <c r="E30" s="54"/>
      <c r="F30" s="57">
        <f t="shared" si="1"/>
        <v>0</v>
      </c>
      <c r="G30" s="12"/>
    </row>
    <row r="31" spans="1:14" outlineLevel="1" x14ac:dyDescent="0.2">
      <c r="A31" s="12" t="s">
        <v>66</v>
      </c>
      <c r="B31" s="24" t="str">
        <f>IFERROR(VLOOKUP(A31,'Liste der Schlüsselfachkräfte'!$B$11:$D$34,3,0)&amp;" "&amp;VLOOKUP(A31,'Liste der Schlüsselfachkräfte'!$B$11:$D$34,2,0),"N.N.")</f>
        <v xml:space="preserve"> </v>
      </c>
      <c r="C31" s="8" t="s">
        <v>24</v>
      </c>
      <c r="D31" s="10"/>
      <c r="E31" s="54"/>
      <c r="F31" s="57">
        <f t="shared" si="1"/>
        <v>0</v>
      </c>
      <c r="G31" s="12"/>
    </row>
    <row r="32" spans="1:14" outlineLevel="1" x14ac:dyDescent="0.2">
      <c r="A32" s="12" t="s">
        <v>70</v>
      </c>
      <c r="B32" s="24" t="str">
        <f>IFERROR(VLOOKUP(A32,'Liste der Schlüsselfachkräfte'!$B$11:$D$34,3,0)&amp;" "&amp;VLOOKUP(A32,'Liste der Schlüsselfachkräfte'!$B$11:$D$34,2,0),"N.N.")</f>
        <v>N.N.</v>
      </c>
      <c r="C32" s="8" t="s">
        <v>24</v>
      </c>
      <c r="D32" s="10"/>
      <c r="E32" s="54"/>
      <c r="F32" s="57">
        <f t="shared" si="1"/>
        <v>0</v>
      </c>
      <c r="G32" s="12"/>
    </row>
    <row r="33" spans="1:7" outlineLevel="1" x14ac:dyDescent="0.2">
      <c r="A33" s="12" t="s">
        <v>71</v>
      </c>
      <c r="B33" s="24" t="str">
        <f>IFERROR(VLOOKUP(A33,'Liste der Schlüsselfachkräfte'!$B$11:$D$34,3,0)&amp;" "&amp;VLOOKUP(A33,'Liste der Schlüsselfachkräfte'!$B$11:$D$34,2,0),"N.N.")</f>
        <v>N.N.</v>
      </c>
      <c r="C33" s="8" t="s">
        <v>24</v>
      </c>
      <c r="D33" s="10"/>
      <c r="E33" s="54"/>
      <c r="F33" s="57">
        <f t="shared" si="1"/>
        <v>0</v>
      </c>
      <c r="G33" s="12"/>
    </row>
    <row r="34" spans="1:7" outlineLevel="1" x14ac:dyDescent="0.2">
      <c r="A34" s="12" t="s">
        <v>72</v>
      </c>
      <c r="B34" s="24" t="str">
        <f>IFERROR(VLOOKUP(A34,'Liste der Schlüsselfachkräfte'!$B$11:$D$34,3,0)&amp;" "&amp;VLOOKUP(A34,'Liste der Schlüsselfachkräfte'!$B$11:$D$34,2,0),"N.N.")</f>
        <v>N.N.</v>
      </c>
      <c r="C34" s="8" t="s">
        <v>24</v>
      </c>
      <c r="D34" s="10"/>
      <c r="E34" s="54"/>
      <c r="F34" s="57">
        <f t="shared" si="1"/>
        <v>0</v>
      </c>
      <c r="G34" s="12"/>
    </row>
    <row r="35" spans="1:7" outlineLevel="1" x14ac:dyDescent="0.2">
      <c r="A35" s="12" t="s">
        <v>74</v>
      </c>
      <c r="B35" s="24" t="str">
        <f>IFERROR(VLOOKUP(A35,'Liste der Schlüsselfachkräfte'!$B$11:$D$34,3,0)&amp;" "&amp;VLOOKUP(A35,'Liste der Schlüsselfachkräfte'!$B$11:$D$34,2,0),"N.N.")</f>
        <v>N.N.</v>
      </c>
      <c r="C35" s="8" t="s">
        <v>24</v>
      </c>
      <c r="D35" s="10"/>
      <c r="E35" s="54"/>
      <c r="F35" s="57">
        <f t="shared" si="1"/>
        <v>0</v>
      </c>
      <c r="G35" s="12"/>
    </row>
    <row r="36" spans="1:7" outlineLevel="1" x14ac:dyDescent="0.2">
      <c r="A36" s="12" t="s">
        <v>75</v>
      </c>
      <c r="B36" s="24" t="str">
        <f>IFERROR(VLOOKUP(A36,'Liste der Schlüsselfachkräfte'!$B$11:$D$34,3,0)&amp;" "&amp;VLOOKUP(A36,'Liste der Schlüsselfachkräfte'!$B$11:$D$34,2,0),"N.N.")</f>
        <v>N.N.</v>
      </c>
      <c r="C36" s="8" t="s">
        <v>24</v>
      </c>
      <c r="D36" s="10"/>
      <c r="E36" s="54"/>
      <c r="F36" s="57">
        <f t="shared" si="1"/>
        <v>0</v>
      </c>
      <c r="G36" s="12"/>
    </row>
    <row r="37" spans="1:7" s="2" customFormat="1" ht="5.45" customHeight="1" outlineLevel="1" x14ac:dyDescent="0.2">
      <c r="C37" s="9"/>
    </row>
    <row r="38" spans="1:7" x14ac:dyDescent="0.2">
      <c r="A38" s="6" t="s">
        <v>17</v>
      </c>
      <c r="B38" s="6"/>
      <c r="C38" s="6"/>
      <c r="D38" s="6"/>
      <c r="E38" s="6"/>
      <c r="F38" s="58">
        <f>SUM(F26:F37)</f>
        <v>0</v>
      </c>
      <c r="G38" s="6"/>
    </row>
    <row r="39" spans="1:7" s="16" customFormat="1" ht="5.45" customHeight="1" x14ac:dyDescent="0.2"/>
    <row r="40" spans="1:7" ht="24" x14ac:dyDescent="0.2">
      <c r="A40" s="22" t="s">
        <v>28</v>
      </c>
      <c r="B40" s="3" t="s">
        <v>19</v>
      </c>
      <c r="C40" s="3" t="s">
        <v>29</v>
      </c>
      <c r="D40" s="3" t="s">
        <v>8</v>
      </c>
      <c r="E40" s="3" t="s">
        <v>30</v>
      </c>
      <c r="F40" s="3" t="s">
        <v>22</v>
      </c>
      <c r="G40" s="3" t="s">
        <v>11</v>
      </c>
    </row>
    <row r="41" spans="1:7" x14ac:dyDescent="0.2">
      <c r="A41" s="12" t="s">
        <v>23</v>
      </c>
      <c r="B41" s="25" t="str">
        <f>IFERROR(VLOOKUP(A41,'Liste der Schlüsselfachkräfte'!$B$11:$D$34,3,0)&amp;" "&amp;VLOOKUP(A41,'Liste der Schlüsselfachkräfte'!$B$11:$D$34,2,0),"N.N.")</f>
        <v xml:space="preserve"> </v>
      </c>
      <c r="C41" s="17" t="s">
        <v>31</v>
      </c>
      <c r="D41" s="10"/>
      <c r="E41" s="54"/>
      <c r="F41" s="57">
        <f>D41*E41</f>
        <v>0</v>
      </c>
      <c r="G41" s="12"/>
    </row>
    <row r="42" spans="1:7" x14ac:dyDescent="0.2">
      <c r="A42" s="12" t="s">
        <v>25</v>
      </c>
      <c r="B42" s="25" t="str">
        <f>IFERROR(VLOOKUP(A42,'Liste der Schlüsselfachkräfte'!$B$11:$D$34,3,0)&amp;" "&amp;VLOOKUP(A42,'Liste der Schlüsselfachkräfte'!$B$11:$D$34,2,0),"N.N.")</f>
        <v xml:space="preserve">  </v>
      </c>
      <c r="C42" s="17" t="s">
        <v>31</v>
      </c>
      <c r="D42" s="10"/>
      <c r="E42" s="54"/>
      <c r="F42" s="57">
        <f t="shared" ref="F42:F51" si="2">D42*E42</f>
        <v>0</v>
      </c>
      <c r="G42" s="12"/>
    </row>
    <row r="43" spans="1:7" outlineLevel="1" x14ac:dyDescent="0.2">
      <c r="A43" s="12" t="s">
        <v>26</v>
      </c>
      <c r="B43" s="25" t="str">
        <f>IFERROR(VLOOKUP(A43,'Liste der Schlüsselfachkräfte'!$B$11:$D$34,3,0)&amp;" "&amp;VLOOKUP(A43,'Liste der Schlüsselfachkräfte'!$B$11:$D$34,2,0),"N.N.")</f>
        <v xml:space="preserve"> </v>
      </c>
      <c r="C43" s="17" t="s">
        <v>31</v>
      </c>
      <c r="D43" s="10"/>
      <c r="E43" s="54"/>
      <c r="F43" s="57">
        <f t="shared" si="2"/>
        <v>0</v>
      </c>
      <c r="G43" s="12"/>
    </row>
    <row r="44" spans="1:7" outlineLevel="1" x14ac:dyDescent="0.2">
      <c r="A44" s="12" t="s">
        <v>27</v>
      </c>
      <c r="B44" s="25" t="str">
        <f>IFERROR(VLOOKUP(A44,'Liste der Schlüsselfachkräfte'!$B$11:$D$34,3,0)&amp;" "&amp;VLOOKUP(A44,'Liste der Schlüsselfachkräfte'!$B$11:$D$34,2,0),"N.N.")</f>
        <v xml:space="preserve"> </v>
      </c>
      <c r="C44" s="17" t="s">
        <v>31</v>
      </c>
      <c r="D44" s="10"/>
      <c r="E44" s="54"/>
      <c r="F44" s="57">
        <f t="shared" si="2"/>
        <v>0</v>
      </c>
      <c r="G44" s="12"/>
    </row>
    <row r="45" spans="1:7" outlineLevel="1" x14ac:dyDescent="0.2">
      <c r="A45" s="12" t="s">
        <v>65</v>
      </c>
      <c r="B45" s="25" t="str">
        <f>IFERROR(VLOOKUP(A45,'Liste der Schlüsselfachkräfte'!$B$11:$D$34,3,0)&amp;" "&amp;VLOOKUP(A45,'Liste der Schlüsselfachkräfte'!$B$11:$D$34,2,0),"N.N.")</f>
        <v xml:space="preserve"> </v>
      </c>
      <c r="C45" s="17" t="s">
        <v>31</v>
      </c>
      <c r="D45" s="10"/>
      <c r="E45" s="54"/>
      <c r="F45" s="57">
        <f t="shared" si="2"/>
        <v>0</v>
      </c>
      <c r="G45" s="12"/>
    </row>
    <row r="46" spans="1:7" outlineLevel="1" x14ac:dyDescent="0.2">
      <c r="A46" s="12" t="s">
        <v>66</v>
      </c>
      <c r="B46" s="25" t="str">
        <f>IFERROR(VLOOKUP(A46,'Liste der Schlüsselfachkräfte'!$B$11:$D$34,3,0)&amp;" "&amp;VLOOKUP(A46,'Liste der Schlüsselfachkräfte'!$B$11:$D$34,2,0),"N.N.")</f>
        <v xml:space="preserve"> </v>
      </c>
      <c r="C46" s="17" t="s">
        <v>31</v>
      </c>
      <c r="D46" s="10"/>
      <c r="E46" s="54"/>
      <c r="F46" s="57">
        <f t="shared" si="2"/>
        <v>0</v>
      </c>
      <c r="G46" s="12"/>
    </row>
    <row r="47" spans="1:7" outlineLevel="1" x14ac:dyDescent="0.2">
      <c r="A47" s="12" t="s">
        <v>70</v>
      </c>
      <c r="B47" s="25" t="str">
        <f>IFERROR(VLOOKUP(A47,'Liste der Schlüsselfachkräfte'!$B$11:$D$34,3,0)&amp;" "&amp;VLOOKUP(A47,'Liste der Schlüsselfachkräfte'!$B$11:$D$34,2,0),"N.N.")</f>
        <v>N.N.</v>
      </c>
      <c r="C47" s="17" t="s">
        <v>31</v>
      </c>
      <c r="D47" s="10"/>
      <c r="E47" s="54"/>
      <c r="F47" s="57">
        <f t="shared" si="2"/>
        <v>0</v>
      </c>
      <c r="G47" s="12"/>
    </row>
    <row r="48" spans="1:7" outlineLevel="1" x14ac:dyDescent="0.2">
      <c r="A48" s="12" t="s">
        <v>71</v>
      </c>
      <c r="B48" s="25" t="str">
        <f>IFERROR(VLOOKUP(A48,'Liste der Schlüsselfachkräfte'!$B$11:$D$34,3,0)&amp;" "&amp;VLOOKUP(A48,'Liste der Schlüsselfachkräfte'!$B$11:$D$34,2,0),"N.N.")</f>
        <v>N.N.</v>
      </c>
      <c r="C48" s="17" t="s">
        <v>31</v>
      </c>
      <c r="D48" s="10"/>
      <c r="E48" s="54"/>
      <c r="F48" s="57">
        <f t="shared" si="2"/>
        <v>0</v>
      </c>
      <c r="G48" s="12"/>
    </row>
    <row r="49" spans="1:8" outlineLevel="1" x14ac:dyDescent="0.2">
      <c r="A49" s="12" t="s">
        <v>72</v>
      </c>
      <c r="B49" s="25" t="str">
        <f>IFERROR(VLOOKUP(A49,'Liste der Schlüsselfachkräfte'!$B$11:$D$34,3,0)&amp;" "&amp;VLOOKUP(A49,'Liste der Schlüsselfachkräfte'!$B$11:$D$34,2,0),"N.N.")</f>
        <v>N.N.</v>
      </c>
      <c r="C49" s="17" t="s">
        <v>31</v>
      </c>
      <c r="D49" s="10"/>
      <c r="E49" s="54"/>
      <c r="F49" s="57">
        <f t="shared" si="2"/>
        <v>0</v>
      </c>
      <c r="G49" s="12"/>
    </row>
    <row r="50" spans="1:8" outlineLevel="1" x14ac:dyDescent="0.2">
      <c r="A50" s="12" t="s">
        <v>74</v>
      </c>
      <c r="B50" s="25" t="str">
        <f>IFERROR(VLOOKUP(A50,'Liste der Schlüsselfachkräfte'!$B$11:$D$34,3,0)&amp;" "&amp;VLOOKUP(A50,'Liste der Schlüsselfachkräfte'!$B$11:$D$34,2,0),"N.N.")</f>
        <v>N.N.</v>
      </c>
      <c r="C50" s="17" t="s">
        <v>31</v>
      </c>
      <c r="D50" s="10"/>
      <c r="E50" s="54"/>
      <c r="F50" s="57">
        <f t="shared" si="2"/>
        <v>0</v>
      </c>
      <c r="G50" s="12"/>
    </row>
    <row r="51" spans="1:8" outlineLevel="1" x14ac:dyDescent="0.2">
      <c r="A51" s="12" t="s">
        <v>75</v>
      </c>
      <c r="B51" s="25" t="str">
        <f>IFERROR(VLOOKUP(A51,'Liste der Schlüsselfachkräfte'!$B$11:$D$34,3,0)&amp;" "&amp;VLOOKUP(A51,'Liste der Schlüsselfachkräfte'!$B$11:$D$34,2,0),"N.N.")</f>
        <v>N.N.</v>
      </c>
      <c r="C51" s="17" t="s">
        <v>31</v>
      </c>
      <c r="D51" s="10"/>
      <c r="E51" s="54"/>
      <c r="F51" s="57">
        <f t="shared" si="2"/>
        <v>0</v>
      </c>
      <c r="G51" s="12"/>
    </row>
    <row r="52" spans="1:8" s="2" customFormat="1" ht="5.25" outlineLevel="1" x14ac:dyDescent="0.2">
      <c r="C52" s="9"/>
    </row>
    <row r="53" spans="1:8" x14ac:dyDescent="0.2">
      <c r="A53" s="6" t="s">
        <v>17</v>
      </c>
      <c r="B53" s="6"/>
      <c r="C53" s="6"/>
      <c r="D53" s="6"/>
      <c r="E53" s="6"/>
      <c r="F53" s="58">
        <f>SUM(F41:F52)</f>
        <v>0</v>
      </c>
      <c r="G53" s="6"/>
    </row>
    <row r="54" spans="1:8" s="2" customFormat="1" ht="5.25" x14ac:dyDescent="0.2"/>
    <row r="55" spans="1:8" s="16" customFormat="1" ht="8.25" x14ac:dyDescent="0.2"/>
    <row r="56" spans="1:8" x14ac:dyDescent="0.2">
      <c r="A56" s="5" t="s">
        <v>32</v>
      </c>
      <c r="B56" s="5"/>
      <c r="C56" s="5"/>
      <c r="D56" s="5"/>
      <c r="E56" s="5"/>
      <c r="F56" s="5"/>
      <c r="G56" s="5"/>
    </row>
    <row r="57" spans="1:8" x14ac:dyDescent="0.2">
      <c r="A57" s="43" t="s">
        <v>33</v>
      </c>
      <c r="B57" s="43"/>
      <c r="C57" s="43"/>
      <c r="D57" s="43"/>
      <c r="E57" s="43"/>
      <c r="F57" s="43"/>
      <c r="G57" s="43"/>
      <c r="H57" s="43"/>
    </row>
    <row r="58" spans="1:8" ht="24" customHeight="1" x14ac:dyDescent="0.2">
      <c r="A58" s="106" t="s">
        <v>96</v>
      </c>
      <c r="B58" s="107"/>
      <c r="C58" s="107"/>
      <c r="D58" s="107"/>
      <c r="E58" s="107"/>
      <c r="F58" s="107"/>
      <c r="G58" s="107"/>
      <c r="H58" s="26"/>
    </row>
    <row r="59" spans="1:8" ht="24" x14ac:dyDescent="0.2">
      <c r="A59" s="3" t="s">
        <v>6</v>
      </c>
      <c r="B59" s="3" t="s">
        <v>34</v>
      </c>
      <c r="C59" s="3" t="s">
        <v>20</v>
      </c>
      <c r="D59" s="3" t="s">
        <v>8</v>
      </c>
      <c r="E59" s="3" t="s">
        <v>35</v>
      </c>
      <c r="F59" s="3" t="s">
        <v>22</v>
      </c>
      <c r="G59" s="3" t="s">
        <v>11</v>
      </c>
    </row>
    <row r="60" spans="1:8" outlineLevel="1" x14ac:dyDescent="0.2">
      <c r="A60" s="12" t="s">
        <v>36</v>
      </c>
      <c r="B60" s="12"/>
      <c r="C60" s="12" t="s">
        <v>38</v>
      </c>
      <c r="D60" s="10"/>
      <c r="E60" s="54"/>
      <c r="F60" s="57">
        <f>D60*E60</f>
        <v>0</v>
      </c>
      <c r="G60" s="12"/>
    </row>
    <row r="61" spans="1:8" s="52" customFormat="1" ht="12" customHeight="1" outlineLevel="1" x14ac:dyDescent="0.2">
      <c r="A61" s="53" t="s">
        <v>76</v>
      </c>
      <c r="B61" s="51"/>
      <c r="C61" s="12" t="s">
        <v>38</v>
      </c>
      <c r="D61" s="10"/>
      <c r="E61" s="54"/>
      <c r="F61" s="57">
        <f t="shared" ref="F61:F73" si="3">D61*E61</f>
        <v>0</v>
      </c>
      <c r="G61" s="12"/>
    </row>
    <row r="62" spans="1:8" s="52" customFormat="1" ht="12" customHeight="1" outlineLevel="1" x14ac:dyDescent="0.2">
      <c r="A62" s="53" t="s">
        <v>77</v>
      </c>
      <c r="B62" s="51"/>
      <c r="C62" s="12" t="s">
        <v>38</v>
      </c>
      <c r="D62" s="10"/>
      <c r="E62" s="54"/>
      <c r="F62" s="57">
        <f t="shared" si="3"/>
        <v>0</v>
      </c>
      <c r="G62" s="12"/>
    </row>
    <row r="63" spans="1:8" s="52" customFormat="1" ht="12" customHeight="1" outlineLevel="1" x14ac:dyDescent="0.2">
      <c r="A63" s="55" t="s">
        <v>81</v>
      </c>
      <c r="B63" s="56"/>
      <c r="C63" s="56" t="s">
        <v>37</v>
      </c>
      <c r="D63" s="10"/>
      <c r="E63" s="54"/>
      <c r="F63" s="57">
        <f t="shared" si="3"/>
        <v>0</v>
      </c>
      <c r="G63" s="12"/>
    </row>
    <row r="64" spans="1:8" outlineLevel="1" x14ac:dyDescent="0.2">
      <c r="A64" s="12" t="s">
        <v>39</v>
      </c>
      <c r="B64" s="12"/>
      <c r="C64" s="12" t="s">
        <v>38</v>
      </c>
      <c r="D64" s="10"/>
      <c r="E64" s="54"/>
      <c r="F64" s="57">
        <f t="shared" si="3"/>
        <v>0</v>
      </c>
      <c r="G64" s="12"/>
    </row>
    <row r="65" spans="1:7" outlineLevel="1" x14ac:dyDescent="0.2">
      <c r="A65" s="12" t="s">
        <v>40</v>
      </c>
      <c r="B65" s="12"/>
      <c r="C65" s="12" t="s">
        <v>38</v>
      </c>
      <c r="D65" s="10"/>
      <c r="E65" s="54"/>
      <c r="F65" s="57">
        <f t="shared" si="3"/>
        <v>0</v>
      </c>
      <c r="G65" s="12"/>
    </row>
    <row r="66" spans="1:7" outlineLevel="1" x14ac:dyDescent="0.2">
      <c r="A66" s="12" t="s">
        <v>41</v>
      </c>
      <c r="B66" s="12"/>
      <c r="C66" s="12" t="s">
        <v>38</v>
      </c>
      <c r="D66" s="10"/>
      <c r="E66" s="54"/>
      <c r="F66" s="57">
        <f t="shared" si="3"/>
        <v>0</v>
      </c>
      <c r="G66" s="12"/>
    </row>
    <row r="67" spans="1:7" outlineLevel="1" x14ac:dyDescent="0.2">
      <c r="A67" s="12" t="s">
        <v>42</v>
      </c>
      <c r="B67" s="12"/>
      <c r="C67" s="12" t="s">
        <v>38</v>
      </c>
      <c r="D67" s="10"/>
      <c r="E67" s="54"/>
      <c r="F67" s="57">
        <f t="shared" si="3"/>
        <v>0</v>
      </c>
      <c r="G67" s="12"/>
    </row>
    <row r="68" spans="1:7" outlineLevel="1" x14ac:dyDescent="0.2">
      <c r="A68" s="12" t="s">
        <v>42</v>
      </c>
      <c r="B68" s="12"/>
      <c r="C68" s="12" t="s">
        <v>38</v>
      </c>
      <c r="D68" s="10"/>
      <c r="E68" s="54"/>
      <c r="F68" s="57">
        <f t="shared" si="3"/>
        <v>0</v>
      </c>
      <c r="G68" s="12"/>
    </row>
    <row r="69" spans="1:7" outlineLevel="1" x14ac:dyDescent="0.2">
      <c r="A69" s="12" t="s">
        <v>42</v>
      </c>
      <c r="B69" s="12"/>
      <c r="C69" s="12" t="s">
        <v>38</v>
      </c>
      <c r="D69" s="10"/>
      <c r="E69" s="54"/>
      <c r="F69" s="57">
        <f t="shared" si="3"/>
        <v>0</v>
      </c>
      <c r="G69" s="12"/>
    </row>
    <row r="70" spans="1:7" outlineLevel="1" x14ac:dyDescent="0.2">
      <c r="A70" s="12" t="s">
        <v>42</v>
      </c>
      <c r="B70" s="12"/>
      <c r="C70" s="12" t="s">
        <v>38</v>
      </c>
      <c r="D70" s="10"/>
      <c r="E70" s="54"/>
      <c r="F70" s="57">
        <f t="shared" si="3"/>
        <v>0</v>
      </c>
      <c r="G70" s="12"/>
    </row>
    <row r="71" spans="1:7" outlineLevel="1" x14ac:dyDescent="0.2">
      <c r="A71" s="12"/>
      <c r="B71" s="12"/>
      <c r="C71" s="12" t="s">
        <v>38</v>
      </c>
      <c r="D71" s="10"/>
      <c r="E71" s="54"/>
      <c r="F71" s="57">
        <f t="shared" si="3"/>
        <v>0</v>
      </c>
      <c r="G71" s="12"/>
    </row>
    <row r="72" spans="1:7" outlineLevel="1" x14ac:dyDescent="0.2">
      <c r="A72" s="12"/>
      <c r="B72" s="12"/>
      <c r="C72" s="12" t="s">
        <v>38</v>
      </c>
      <c r="D72" s="10"/>
      <c r="E72" s="54"/>
      <c r="F72" s="57">
        <f t="shared" si="3"/>
        <v>0</v>
      </c>
      <c r="G72" s="12"/>
    </row>
    <row r="73" spans="1:7" outlineLevel="1" x14ac:dyDescent="0.2">
      <c r="A73" s="12"/>
      <c r="B73" s="12"/>
      <c r="C73" s="12" t="s">
        <v>38</v>
      </c>
      <c r="D73" s="10"/>
      <c r="E73" s="54"/>
      <c r="F73" s="57">
        <f t="shared" si="3"/>
        <v>0</v>
      </c>
      <c r="G73" s="12"/>
    </row>
    <row r="74" spans="1:7" s="2" customFormat="1" ht="3.75" customHeight="1" outlineLevel="1" x14ac:dyDescent="0.2">
      <c r="C74" s="9"/>
    </row>
    <row r="75" spans="1:7" x14ac:dyDescent="0.2">
      <c r="A75" s="6" t="s">
        <v>17</v>
      </c>
      <c r="B75" s="6"/>
      <c r="C75" s="6"/>
      <c r="D75" s="6"/>
      <c r="E75" s="6"/>
      <c r="F75" s="58">
        <f>SUM(F60:F74)</f>
        <v>0</v>
      </c>
      <c r="G75" s="6"/>
    </row>
    <row r="76" spans="1:7" s="16" customFormat="1" ht="8.25" x14ac:dyDescent="0.2"/>
    <row r="77" spans="1:7" x14ac:dyDescent="0.2">
      <c r="A77" s="5" t="s">
        <v>43</v>
      </c>
      <c r="B77" s="5"/>
      <c r="C77" s="5"/>
      <c r="D77" s="5"/>
      <c r="E77" s="5"/>
      <c r="F77" s="5"/>
      <c r="G77" s="5"/>
    </row>
    <row r="78" spans="1:7" s="20" customFormat="1" ht="6" outlineLevel="1" x14ac:dyDescent="0.2"/>
    <row r="79" spans="1:7" ht="24" outlineLevel="1" x14ac:dyDescent="0.2">
      <c r="A79" s="3" t="s">
        <v>6</v>
      </c>
      <c r="B79" s="3"/>
      <c r="C79" s="3" t="s">
        <v>29</v>
      </c>
      <c r="D79" s="3" t="s">
        <v>8</v>
      </c>
      <c r="E79" s="3" t="s">
        <v>35</v>
      </c>
      <c r="F79" s="3" t="s">
        <v>22</v>
      </c>
      <c r="G79" s="3" t="s">
        <v>11</v>
      </c>
    </row>
    <row r="80" spans="1:7" outlineLevel="1" x14ac:dyDescent="0.2">
      <c r="A80" s="12" t="s">
        <v>44</v>
      </c>
      <c r="B80" s="7"/>
      <c r="C80" s="12" t="s">
        <v>38</v>
      </c>
      <c r="D80" s="10"/>
      <c r="E80" s="54"/>
      <c r="F80" s="57">
        <f>D80*E80</f>
        <v>0</v>
      </c>
      <c r="G80" s="12"/>
    </row>
    <row r="81" spans="1:7" outlineLevel="1" x14ac:dyDescent="0.2">
      <c r="A81" s="12" t="s">
        <v>45</v>
      </c>
      <c r="B81" s="7"/>
      <c r="C81" s="12" t="s">
        <v>38</v>
      </c>
      <c r="D81" s="10"/>
      <c r="E81" s="54"/>
      <c r="F81" s="57">
        <f t="shared" ref="F81:F84" si="4">D81*E81</f>
        <v>0</v>
      </c>
      <c r="G81" s="12"/>
    </row>
    <row r="82" spans="1:7" outlineLevel="1" x14ac:dyDescent="0.2">
      <c r="A82" s="12" t="s">
        <v>46</v>
      </c>
      <c r="B82" s="7"/>
      <c r="C82" s="12" t="s">
        <v>38</v>
      </c>
      <c r="D82" s="10"/>
      <c r="E82" s="54"/>
      <c r="F82" s="57">
        <f t="shared" si="4"/>
        <v>0</v>
      </c>
      <c r="G82" s="12"/>
    </row>
    <row r="83" spans="1:7" outlineLevel="1" x14ac:dyDescent="0.2">
      <c r="A83" s="12" t="s">
        <v>47</v>
      </c>
      <c r="B83" s="7"/>
      <c r="C83" s="12" t="s">
        <v>38</v>
      </c>
      <c r="D83" s="10"/>
      <c r="E83" s="54"/>
      <c r="F83" s="57">
        <f>D83*E83</f>
        <v>0</v>
      </c>
      <c r="G83" s="12"/>
    </row>
    <row r="84" spans="1:7" outlineLevel="1" x14ac:dyDescent="0.2">
      <c r="A84" s="11" t="s">
        <v>48</v>
      </c>
      <c r="B84" s="7"/>
      <c r="C84" s="7" t="s">
        <v>37</v>
      </c>
      <c r="D84" s="10"/>
      <c r="E84" s="54"/>
      <c r="F84" s="57">
        <f t="shared" si="4"/>
        <v>0</v>
      </c>
      <c r="G84" s="12"/>
    </row>
    <row r="85" spans="1:7" outlineLevel="1" x14ac:dyDescent="0.2">
      <c r="A85" s="103" t="s">
        <v>50</v>
      </c>
      <c r="B85" s="7"/>
      <c r="C85" s="7" t="s">
        <v>37</v>
      </c>
      <c r="D85" s="10"/>
      <c r="E85" s="54"/>
      <c r="F85" s="57">
        <f>D85*E85</f>
        <v>0</v>
      </c>
      <c r="G85" s="12"/>
    </row>
    <row r="86" spans="1:7" outlineLevel="1" x14ac:dyDescent="0.2">
      <c r="A86" s="12" t="s">
        <v>49</v>
      </c>
      <c r="B86" s="7"/>
      <c r="C86" s="12" t="s">
        <v>38</v>
      </c>
      <c r="D86" s="10"/>
      <c r="E86" s="54"/>
      <c r="F86" s="57">
        <f>D86*E86</f>
        <v>0</v>
      </c>
      <c r="G86" s="12"/>
    </row>
    <row r="87" spans="1:7" outlineLevel="1" x14ac:dyDescent="0.2">
      <c r="A87" s="12" t="s">
        <v>49</v>
      </c>
      <c r="B87" s="7"/>
      <c r="C87" s="12" t="s">
        <v>38</v>
      </c>
      <c r="D87" s="10"/>
      <c r="E87" s="54"/>
      <c r="F87" s="57">
        <f>D87*E87</f>
        <v>0</v>
      </c>
      <c r="G87" s="12"/>
    </row>
    <row r="88" spans="1:7" outlineLevel="1" x14ac:dyDescent="0.2">
      <c r="A88" s="12"/>
      <c r="B88" s="7"/>
      <c r="C88" s="12" t="s">
        <v>38</v>
      </c>
      <c r="D88" s="10"/>
      <c r="E88" s="54"/>
      <c r="F88" s="57">
        <f>D88*E88</f>
        <v>0</v>
      </c>
      <c r="G88" s="12"/>
    </row>
    <row r="89" spans="1:7" outlineLevel="1" x14ac:dyDescent="0.2">
      <c r="A89" s="12"/>
      <c r="B89" s="7"/>
      <c r="C89" s="12" t="s">
        <v>38</v>
      </c>
      <c r="D89" s="10"/>
      <c r="E89" s="54"/>
      <c r="F89" s="57">
        <f>D89*E89</f>
        <v>0</v>
      </c>
      <c r="G89" s="12"/>
    </row>
    <row r="90" spans="1:7" outlineLevel="1" x14ac:dyDescent="0.2">
      <c r="A90" s="12"/>
      <c r="B90" s="7"/>
      <c r="C90" s="12" t="s">
        <v>38</v>
      </c>
      <c r="D90" s="10"/>
      <c r="E90" s="54"/>
      <c r="F90" s="57">
        <f t="shared" ref="F90:F92" si="5">D90*E90</f>
        <v>0</v>
      </c>
      <c r="G90" s="12"/>
    </row>
    <row r="91" spans="1:7" outlineLevel="1" x14ac:dyDescent="0.2">
      <c r="A91" s="12"/>
      <c r="B91" s="7"/>
      <c r="C91" s="12" t="s">
        <v>38</v>
      </c>
      <c r="D91" s="10"/>
      <c r="E91" s="54"/>
      <c r="F91" s="57">
        <f t="shared" si="5"/>
        <v>0</v>
      </c>
      <c r="G91" s="12"/>
    </row>
    <row r="92" spans="1:7" outlineLevel="1" x14ac:dyDescent="0.2">
      <c r="A92" s="12"/>
      <c r="B92" s="7"/>
      <c r="C92" s="12" t="s">
        <v>38</v>
      </c>
      <c r="D92" s="10"/>
      <c r="E92" s="54"/>
      <c r="F92" s="57">
        <f t="shared" si="5"/>
        <v>0</v>
      </c>
      <c r="G92" s="12"/>
    </row>
    <row r="93" spans="1:7" s="2" customFormat="1" ht="5.25" outlineLevel="1" x14ac:dyDescent="0.2"/>
    <row r="94" spans="1:7" x14ac:dyDescent="0.2">
      <c r="A94" s="6" t="s">
        <v>17</v>
      </c>
      <c r="B94" s="6"/>
      <c r="C94" s="6"/>
      <c r="D94" s="6"/>
      <c r="E94" s="6"/>
      <c r="F94" s="58">
        <f>SUM(F80:F93)</f>
        <v>0</v>
      </c>
      <c r="G94" s="6"/>
    </row>
    <row r="95" spans="1:7" s="16" customFormat="1" ht="5.45" customHeight="1" x14ac:dyDescent="0.2"/>
    <row r="96" spans="1:7" x14ac:dyDescent="0.2">
      <c r="A96" s="5" t="s">
        <v>51</v>
      </c>
      <c r="B96" s="5"/>
      <c r="C96" s="5"/>
      <c r="D96" s="5"/>
      <c r="E96" s="5"/>
      <c r="F96" s="5"/>
      <c r="G96" s="5"/>
    </row>
    <row r="97" spans="1:7" s="20" customFormat="1" ht="6" x14ac:dyDescent="0.2"/>
    <row r="98" spans="1:7" x14ac:dyDescent="0.2">
      <c r="A98" s="6" t="s">
        <v>52</v>
      </c>
      <c r="B98" s="6"/>
      <c r="C98" s="6"/>
      <c r="D98" s="6"/>
      <c r="E98" s="6"/>
      <c r="F98" s="58">
        <f>F94+F75+F53+F21+F38</f>
        <v>0</v>
      </c>
      <c r="G98" s="6"/>
    </row>
    <row r="99" spans="1:7" s="16" customFormat="1" ht="8.25" x14ac:dyDescent="0.2"/>
    <row r="100" spans="1:7" s="16" customFormat="1" ht="8.25" x14ac:dyDescent="0.2"/>
    <row r="101" spans="1:7" s="18" customFormat="1" ht="9" x14ac:dyDescent="0.2"/>
    <row r="102" spans="1:7" x14ac:dyDescent="0.2">
      <c r="A102" s="1"/>
    </row>
    <row r="103" spans="1:7" x14ac:dyDescent="0.2">
      <c r="A103" s="44"/>
      <c r="B103" s="45"/>
      <c r="C103" s="45"/>
      <c r="D103" s="45"/>
      <c r="E103" s="45"/>
      <c r="F103" s="45"/>
      <c r="G103" s="45"/>
    </row>
    <row r="104" spans="1:7" x14ac:dyDescent="0.2">
      <c r="A104" s="35"/>
      <c r="B104" s="36"/>
      <c r="C104" s="36"/>
      <c r="D104" s="36"/>
      <c r="E104" s="36"/>
      <c r="F104" s="36"/>
      <c r="G104" s="36"/>
    </row>
    <row r="105" spans="1:7" x14ac:dyDescent="0.2">
      <c r="A105" s="35"/>
      <c r="B105" s="36"/>
      <c r="C105" s="36"/>
      <c r="D105" s="36"/>
      <c r="E105" s="36"/>
      <c r="F105" s="36"/>
      <c r="G105" s="36"/>
    </row>
    <row r="106" spans="1:7" ht="11.45" customHeight="1" x14ac:dyDescent="0.2">
      <c r="A106" s="35" t="s">
        <v>53</v>
      </c>
      <c r="B106" s="36"/>
      <c r="C106" s="36"/>
      <c r="D106" s="36"/>
      <c r="E106" s="36"/>
      <c r="F106" s="36"/>
      <c r="G106" s="36"/>
    </row>
    <row r="107" spans="1:7" ht="11.45" customHeight="1" x14ac:dyDescent="0.2">
      <c r="A107" s="35" t="s">
        <v>54</v>
      </c>
      <c r="B107" s="36"/>
      <c r="C107" s="36"/>
      <c r="D107" s="36"/>
      <c r="E107" s="36"/>
      <c r="F107" s="36"/>
      <c r="G107" s="36"/>
    </row>
    <row r="108" spans="1:7" x14ac:dyDescent="0.2">
      <c r="A108" s="46"/>
      <c r="B108" s="36"/>
      <c r="C108" s="36"/>
      <c r="D108" s="36"/>
      <c r="E108" s="36"/>
      <c r="F108" s="36"/>
      <c r="G108" s="36"/>
    </row>
    <row r="109" spans="1:7" x14ac:dyDescent="0.2">
      <c r="A109" s="42"/>
      <c r="B109" s="42"/>
      <c r="C109" s="42"/>
      <c r="D109" s="42"/>
      <c r="E109" s="42"/>
      <c r="F109" s="42"/>
      <c r="G109" s="42"/>
    </row>
    <row r="110" spans="1:7" x14ac:dyDescent="0.2">
      <c r="A110" s="42"/>
      <c r="B110" s="42"/>
      <c r="C110" s="42"/>
      <c r="D110" s="42"/>
      <c r="E110" s="42"/>
      <c r="F110" s="42"/>
      <c r="G110" s="42"/>
    </row>
  </sheetData>
  <sheetProtection algorithmName="SHA-512" hashValue="YjWz3sN2GcJ5/abrN2KRc+cdo1DpbVyMKFHRcQl57LAKZ5otB00jkKZCRhIm7/t0yrANgH6nuoFxI1ysfqK5jg==" saltValue="MHZHxEzWlvVAUvROfYFWOw==" spinCount="100000" sheet="1" formatRows="0"/>
  <mergeCells count="5">
    <mergeCell ref="A1:F1"/>
    <mergeCell ref="D7:G7"/>
    <mergeCell ref="A58:G58"/>
    <mergeCell ref="D3:E3"/>
    <mergeCell ref="D5:G5"/>
  </mergeCells>
  <dataValidations count="4">
    <dataValidation type="list" showInputMessage="1" sqref="A26:A36 A47:A51" xr:uid="{58767BC0-4DBD-4173-85B1-7FD62F59D6E2}">
      <formula1>lSFK</formula1>
    </dataValidation>
    <dataValidation type="list" allowBlank="1" showInputMessage="1" sqref="A41:A46" xr:uid="{D28AFD9F-026F-4205-A0C7-952F2C4487BE}">
      <formula1>lSFK</formula1>
    </dataValidation>
    <dataValidation type="list" allowBlank="1" showInputMessage="1" showErrorMessage="1" sqref="C64:C73 C60:C62 C80:C83 C86:C92" xr:uid="{128240EF-532A-4513-82DE-239225810FA4}">
      <formula1>Erstattungsart</formula1>
    </dataValidation>
    <dataValidation operator="greaterThanOrEqual" allowBlank="1" showInputMessage="1" showErrorMessage="1" sqref="D3:E3" xr:uid="{BEB2BF9C-9369-48C2-BFBD-5A49F68F7038}"/>
  </dataValidations>
  <hyperlinks>
    <hyperlink ref="A58" r:id="rId1" xr:uid="{D9761BE9-15D1-47BD-8B52-275F98965B31}"/>
  </hyperlinks>
  <pageMargins left="0.51181102362204722" right="0.51181102362204722" top="0.11811023622047245" bottom="0.39370078740157483" header="0.11811023622047245" footer="0.15748031496062992"/>
  <pageSetup paperSize="9" fitToWidth="0" fitToHeight="2" orientation="landscape" r:id="rId2"/>
  <headerFooter differentFirst="1">
    <oddFooter>&amp;C&amp;7&amp;P / &amp;N</oddFooter>
    <firstFooter>&amp;LForm 42-11-3</firstFooter>
  </headerFooter>
  <rowBreaks count="1" manualBreakCount="1">
    <brk id="54" max="6" man="1"/>
  </rowBrea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C96B-BA89-4AF9-A913-4E5D32EA7B85}">
  <sheetPr>
    <pageSetUpPr fitToPage="1"/>
  </sheetPr>
  <dimension ref="A1:N47"/>
  <sheetViews>
    <sheetView showGridLines="0" zoomScaleNormal="100" workbookViewId="0">
      <selection sqref="A1:G1"/>
    </sheetView>
  </sheetViews>
  <sheetFormatPr baseColWidth="10" defaultColWidth="11.42578125" defaultRowHeight="14.25" x14ac:dyDescent="0.2"/>
  <cols>
    <col min="1" max="1" width="32.85546875" style="61" customWidth="1"/>
    <col min="2" max="2" width="15.5703125" style="61" customWidth="1"/>
    <col min="3" max="3" width="25.28515625" style="61" customWidth="1"/>
    <col min="4" max="4" width="11.42578125" style="61"/>
    <col min="5" max="5" width="16.42578125" style="61" customWidth="1"/>
    <col min="6" max="6" width="25.7109375" style="61" customWidth="1"/>
    <col min="7" max="7" width="12.7109375" style="61" customWidth="1"/>
    <col min="8" max="8" width="1.7109375" style="61" hidden="1" customWidth="1"/>
    <col min="9" max="9" width="2.140625" style="61" bestFit="1" customWidth="1"/>
    <col min="10" max="10" width="11.42578125" style="61" customWidth="1"/>
    <col min="11" max="11" width="16" style="61" customWidth="1"/>
    <col min="12" max="16384" width="11.42578125" style="61"/>
  </cols>
  <sheetData>
    <row r="1" spans="1:14" ht="67.5" customHeight="1" x14ac:dyDescent="0.2">
      <c r="A1" s="120" t="s">
        <v>93</v>
      </c>
      <c r="B1" s="121"/>
      <c r="C1" s="121"/>
      <c r="D1" s="121"/>
      <c r="E1" s="121"/>
      <c r="F1" s="121"/>
      <c r="G1" s="122"/>
    </row>
    <row r="2" spans="1:14" ht="3.6" customHeight="1" x14ac:dyDescent="0.2">
      <c r="A2" s="80"/>
      <c r="B2" s="81"/>
      <c r="C2" s="81"/>
      <c r="D2" s="81"/>
      <c r="E2" s="81"/>
      <c r="F2" s="81"/>
      <c r="G2" s="81"/>
    </row>
    <row r="3" spans="1:14" ht="11.45" customHeight="1" x14ac:dyDescent="0.2">
      <c r="A3" s="28" t="s">
        <v>0</v>
      </c>
      <c r="B3" s="59" t="str">
        <f>'Preisblatt | Leistung'!B3</f>
        <v>81311588</v>
      </c>
      <c r="C3" s="29" t="s">
        <v>1</v>
      </c>
      <c r="D3" s="93">
        <f>'Preisblatt | Leistung'!D3</f>
        <v>0</v>
      </c>
      <c r="E3" s="93"/>
      <c r="F3" s="29"/>
      <c r="G3" s="15"/>
    </row>
    <row r="4" spans="1:14" ht="5.25" customHeight="1" x14ac:dyDescent="0.2">
      <c r="A4" s="27"/>
      <c r="B4" s="2"/>
      <c r="C4" s="30"/>
      <c r="D4" s="9"/>
      <c r="E4" s="9"/>
      <c r="F4" s="9"/>
      <c r="G4" s="9"/>
    </row>
    <row r="5" spans="1:14" ht="11.45" customHeight="1" x14ac:dyDescent="0.2">
      <c r="A5" s="31" t="s">
        <v>2</v>
      </c>
      <c r="B5" s="59" t="str">
        <f>'Preisblatt | Leistung'!B5</f>
        <v>15590</v>
      </c>
      <c r="C5" s="29" t="s">
        <v>3</v>
      </c>
      <c r="D5" s="114">
        <f>'Preisblatt | Leistung'!D5</f>
        <v>0</v>
      </c>
      <c r="E5" s="114"/>
      <c r="F5" s="114"/>
      <c r="G5" s="114"/>
      <c r="H5" s="79"/>
    </row>
    <row r="6" spans="1:14" ht="3.6" customHeight="1" x14ac:dyDescent="0.2">
      <c r="A6" s="27"/>
      <c r="B6" s="2"/>
      <c r="C6" s="30"/>
      <c r="D6" s="9"/>
      <c r="E6" s="9"/>
      <c r="F6" s="9"/>
      <c r="G6" s="9"/>
    </row>
    <row r="7" spans="1:14" ht="35.25" customHeight="1" x14ac:dyDescent="0.2">
      <c r="A7" s="32"/>
      <c r="B7" s="60"/>
      <c r="C7" s="29" t="s">
        <v>4</v>
      </c>
      <c r="D7" s="126">
        <f>'Preisblatt | Leistung'!D7</f>
        <v>0</v>
      </c>
      <c r="E7" s="126"/>
      <c r="F7" s="126"/>
      <c r="G7" s="126"/>
      <c r="J7" s="78"/>
      <c r="K7" s="78"/>
      <c r="L7" s="78"/>
      <c r="M7" s="78"/>
      <c r="N7" s="78"/>
    </row>
    <row r="8" spans="1:14" ht="9" customHeight="1" x14ac:dyDescent="0.2">
      <c r="A8" s="77"/>
      <c r="B8" s="76"/>
      <c r="C8" s="76"/>
      <c r="D8" s="76"/>
      <c r="E8" s="76"/>
      <c r="F8" s="76"/>
      <c r="G8" s="76"/>
    </row>
    <row r="9" spans="1:14" ht="11.45" customHeight="1" x14ac:dyDescent="0.2">
      <c r="A9" s="96" t="s">
        <v>5</v>
      </c>
      <c r="B9" s="99"/>
      <c r="C9" s="99"/>
      <c r="D9" s="99"/>
      <c r="E9" s="99"/>
      <c r="F9" s="99"/>
      <c r="G9" s="99"/>
    </row>
    <row r="10" spans="1:14" ht="5.0999999999999996" customHeight="1" x14ac:dyDescent="0.2">
      <c r="A10" s="71"/>
      <c r="B10" s="82"/>
      <c r="C10" s="82"/>
      <c r="D10" s="82"/>
      <c r="E10" s="82"/>
      <c r="F10" s="82"/>
      <c r="G10" s="82"/>
    </row>
    <row r="11" spans="1:14" ht="11.45" customHeight="1" x14ac:dyDescent="0.2">
      <c r="A11" s="65" t="s">
        <v>17</v>
      </c>
      <c r="B11" s="83"/>
      <c r="C11" s="83"/>
      <c r="D11" s="83"/>
      <c r="E11" s="84">
        <f>'Preisblatt | Leistung'!F21+'Preisblatt | opt. Leistung'!F21</f>
        <v>0</v>
      </c>
      <c r="F11" s="84"/>
      <c r="G11" s="85"/>
      <c r="K11" s="75"/>
    </row>
    <row r="12" spans="1:14" s="64" customFormat="1" ht="17.25" customHeight="1" x14ac:dyDescent="0.2">
      <c r="A12" s="71"/>
      <c r="B12" s="82"/>
      <c r="C12" s="82"/>
      <c r="D12" s="82"/>
      <c r="E12" s="82"/>
      <c r="F12" s="82"/>
      <c r="G12" s="82"/>
    </row>
    <row r="13" spans="1:14" ht="11.45" customHeight="1" x14ac:dyDescent="0.2">
      <c r="A13" s="96" t="s">
        <v>89</v>
      </c>
      <c r="B13" s="98"/>
      <c r="C13" s="98"/>
      <c r="D13" s="98"/>
      <c r="E13" s="98"/>
      <c r="F13" s="98"/>
      <c r="G13" s="98"/>
    </row>
    <row r="14" spans="1:14" ht="11.45" customHeight="1" x14ac:dyDescent="0.2">
      <c r="A14" s="94"/>
      <c r="B14" s="95"/>
      <c r="C14" s="95"/>
      <c r="D14" s="95"/>
      <c r="E14" s="95"/>
      <c r="F14" s="95"/>
      <c r="G14" s="95"/>
    </row>
    <row r="15" spans="1:14" ht="11.45" customHeight="1" x14ac:dyDescent="0.2">
      <c r="A15" s="92" t="s">
        <v>94</v>
      </c>
      <c r="B15" s="86"/>
      <c r="C15" s="86"/>
      <c r="D15" s="86"/>
      <c r="E15" s="86"/>
      <c r="F15" s="86"/>
      <c r="G15" s="86"/>
    </row>
    <row r="16" spans="1:14" s="64" customFormat="1" ht="11.45" customHeight="1" x14ac:dyDescent="0.2">
      <c r="A16" s="65" t="s">
        <v>17</v>
      </c>
      <c r="B16" s="83"/>
      <c r="C16" s="83"/>
      <c r="D16" s="83"/>
      <c r="E16" s="89">
        <f>'Preisblatt | Leistung'!F38+'Preisblatt | opt. Leistung'!F38</f>
        <v>0</v>
      </c>
      <c r="F16" s="84"/>
      <c r="G16" s="73"/>
    </row>
    <row r="17" spans="1:12" s="64" customFormat="1" ht="17.25" customHeight="1" x14ac:dyDescent="0.2">
      <c r="A17" s="91"/>
      <c r="B17" s="91"/>
      <c r="C17" s="91"/>
      <c r="D17" s="91"/>
      <c r="E17" s="91"/>
      <c r="F17" s="91"/>
    </row>
    <row r="18" spans="1:12" s="66" customFormat="1" ht="11.45" customHeight="1" x14ac:dyDescent="0.2">
      <c r="A18" s="90" t="s">
        <v>95</v>
      </c>
      <c r="B18" s="87"/>
      <c r="C18" s="74"/>
      <c r="D18" s="74"/>
      <c r="E18" s="74"/>
      <c r="F18" s="74"/>
      <c r="G18" s="74"/>
    </row>
    <row r="19" spans="1:12" s="64" customFormat="1" ht="11.45" customHeight="1" x14ac:dyDescent="0.2">
      <c r="A19" s="88" t="s">
        <v>17</v>
      </c>
      <c r="B19" s="88"/>
      <c r="C19" s="88"/>
      <c r="D19" s="88"/>
      <c r="E19" s="84">
        <f>'Preisblatt | Leistung'!F53+'Preisblatt | opt. Leistung'!F53</f>
        <v>0</v>
      </c>
      <c r="F19" s="73"/>
      <c r="G19" s="88"/>
    </row>
    <row r="20" spans="1:12" s="74" customFormat="1" ht="17.25" customHeight="1" x14ac:dyDescent="0.2">
      <c r="A20" s="71"/>
      <c r="B20" s="82"/>
      <c r="C20" s="82"/>
      <c r="D20" s="82"/>
      <c r="E20" s="82"/>
      <c r="F20" s="82"/>
      <c r="G20" s="82"/>
    </row>
    <row r="21" spans="1:12" s="64" customFormat="1" ht="11.45" customHeight="1" x14ac:dyDescent="0.2">
      <c r="A21" s="96" t="s">
        <v>88</v>
      </c>
      <c r="B21" s="97"/>
      <c r="C21" s="97"/>
      <c r="D21" s="97"/>
      <c r="E21" s="97"/>
      <c r="F21" s="97"/>
      <c r="G21" s="97"/>
    </row>
    <row r="22" spans="1:12" s="72" customFormat="1" ht="12" customHeight="1" x14ac:dyDescent="0.2">
      <c r="A22" s="116" t="s">
        <v>33</v>
      </c>
      <c r="B22" s="117"/>
      <c r="C22" s="117"/>
      <c r="D22" s="117"/>
      <c r="E22" s="117"/>
      <c r="F22" s="117"/>
      <c r="G22" s="117"/>
    </row>
    <row r="23" spans="1:12" ht="14.25" customHeight="1" x14ac:dyDescent="0.2">
      <c r="A23" s="118" t="s">
        <v>96</v>
      </c>
      <c r="B23" s="119"/>
      <c r="C23" s="119"/>
      <c r="D23" s="119"/>
      <c r="E23" s="119"/>
      <c r="F23" s="119"/>
      <c r="G23" s="119"/>
    </row>
    <row r="24" spans="1:12" s="64" customFormat="1" ht="13.5" customHeight="1" x14ac:dyDescent="0.2">
      <c r="A24" s="119"/>
      <c r="B24" s="119"/>
      <c r="C24" s="119"/>
      <c r="D24" s="119"/>
      <c r="E24" s="119"/>
      <c r="F24" s="119"/>
      <c r="G24" s="119"/>
    </row>
    <row r="25" spans="1:12" s="66" customFormat="1" ht="12" customHeight="1" x14ac:dyDescent="0.2">
      <c r="A25" s="65" t="s">
        <v>17</v>
      </c>
      <c r="B25" s="83"/>
      <c r="C25" s="83"/>
      <c r="D25" s="83"/>
      <c r="E25" s="89">
        <f>'Preisblatt | Leistung'!F75+'Preisblatt | opt. Leistung'!F75</f>
        <v>22518</v>
      </c>
      <c r="F25" s="84"/>
      <c r="G25" s="73"/>
      <c r="H25" s="70"/>
    </row>
    <row r="26" spans="1:12" s="62" customFormat="1" ht="17.25" customHeight="1" x14ac:dyDescent="0.2">
      <c r="A26" s="67"/>
      <c r="B26" s="86"/>
      <c r="C26" s="86"/>
      <c r="D26" s="86"/>
      <c r="E26" s="86"/>
      <c r="F26" s="86"/>
      <c r="G26" s="86"/>
      <c r="H26" s="70"/>
      <c r="I26" s="64"/>
      <c r="L26" s="64"/>
    </row>
    <row r="27" spans="1:12" s="69" customFormat="1" ht="11.45" customHeight="1" x14ac:dyDescent="0.2">
      <c r="A27" s="96" t="s">
        <v>87</v>
      </c>
      <c r="B27" s="97"/>
      <c r="C27" s="97"/>
      <c r="D27" s="97"/>
      <c r="E27" s="97"/>
      <c r="F27" s="97"/>
      <c r="G27" s="97"/>
    </row>
    <row r="28" spans="1:12" s="64" customFormat="1" ht="11.45" customHeight="1" x14ac:dyDescent="0.2">
      <c r="A28" s="67"/>
      <c r="B28" s="86"/>
      <c r="C28" s="86"/>
      <c r="D28" s="86"/>
      <c r="E28" s="86"/>
      <c r="F28" s="86"/>
      <c r="G28" s="86"/>
    </row>
    <row r="29" spans="1:12" s="68" customFormat="1" ht="11.45" customHeight="1" x14ac:dyDescent="0.2">
      <c r="A29" s="65" t="s">
        <v>17</v>
      </c>
      <c r="B29" s="83"/>
      <c r="C29" s="83"/>
      <c r="D29" s="83"/>
      <c r="E29" s="89">
        <f>'Preisblatt | Leistung'!F94+'Preisblatt | opt. Leistung'!F94</f>
        <v>6500</v>
      </c>
      <c r="F29" s="84"/>
      <c r="G29" s="73"/>
    </row>
    <row r="30" spans="1:12" s="64" customFormat="1" ht="17.25" customHeight="1" x14ac:dyDescent="0.2">
      <c r="A30" s="67"/>
      <c r="B30" s="86"/>
      <c r="C30" s="86"/>
      <c r="D30" s="86"/>
      <c r="E30" s="86"/>
      <c r="F30" s="86"/>
      <c r="G30" s="86"/>
    </row>
    <row r="31" spans="1:12" s="66" customFormat="1" ht="11.45" customHeight="1" x14ac:dyDescent="0.2">
      <c r="A31" s="96" t="s">
        <v>86</v>
      </c>
      <c r="B31" s="97"/>
      <c r="C31" s="97"/>
      <c r="D31" s="97"/>
      <c r="E31" s="97"/>
      <c r="F31" s="97"/>
      <c r="G31" s="97"/>
    </row>
    <row r="32" spans="1:12" s="64" customFormat="1" x14ac:dyDescent="0.2">
      <c r="A32" s="67"/>
      <c r="B32" s="86"/>
      <c r="C32" s="86"/>
      <c r="D32" s="86"/>
      <c r="E32" s="86"/>
      <c r="F32" s="86"/>
      <c r="G32" s="86"/>
    </row>
    <row r="33" spans="1:7" s="68" customFormat="1" x14ac:dyDescent="0.2">
      <c r="A33" s="65" t="s">
        <v>52</v>
      </c>
      <c r="B33" s="83"/>
      <c r="C33" s="83"/>
      <c r="D33" s="83"/>
      <c r="E33" s="89">
        <f>'Preisblatt | Leistung'!F98+'Preisblatt | opt. Leistung'!F98</f>
        <v>29018</v>
      </c>
      <c r="F33" s="84"/>
      <c r="G33" s="73"/>
    </row>
    <row r="34" spans="1:7" s="64" customFormat="1" ht="14.1" customHeight="1" x14ac:dyDescent="0.2">
      <c r="A34" s="66"/>
      <c r="B34" s="66"/>
      <c r="C34" s="66"/>
      <c r="D34" s="66"/>
      <c r="E34" s="66"/>
      <c r="F34" s="66"/>
      <c r="G34" s="66"/>
    </row>
    <row r="35" spans="1:7" s="66" customFormat="1" ht="14.1" customHeight="1" x14ac:dyDescent="0.2"/>
    <row r="36" spans="1:7" s="64" customFormat="1" ht="14.1" customHeight="1" x14ac:dyDescent="0.2"/>
    <row r="37" spans="1:7" ht="14.1" customHeight="1" x14ac:dyDescent="0.2"/>
    <row r="38" spans="1:7" ht="14.1" customHeight="1" x14ac:dyDescent="0.2"/>
    <row r="39" spans="1:7" s="62" customFormat="1" ht="14.1" customHeight="1" x14ac:dyDescent="0.2">
      <c r="A39" s="63" t="s">
        <v>82</v>
      </c>
    </row>
    <row r="40" spans="1:7" s="62" customFormat="1" ht="14.1" customHeight="1" x14ac:dyDescent="0.2">
      <c r="A40" s="124"/>
      <c r="B40" s="124"/>
      <c r="C40" s="124"/>
      <c r="D40" s="124"/>
      <c r="E40" s="124"/>
      <c r="F40" s="124"/>
      <c r="G40" s="124"/>
    </row>
    <row r="41" spans="1:7" s="62" customFormat="1" ht="14.1" customHeight="1" x14ac:dyDescent="0.2">
      <c r="A41" s="125" t="s">
        <v>82</v>
      </c>
      <c r="B41" s="125"/>
      <c r="C41" s="125"/>
      <c r="D41" s="125"/>
      <c r="E41" s="125"/>
      <c r="F41" s="125"/>
      <c r="G41" s="125"/>
    </row>
    <row r="42" spans="1:7" s="62" customFormat="1" ht="14.1" customHeight="1" x14ac:dyDescent="0.2">
      <c r="A42" s="125"/>
      <c r="B42" s="125"/>
      <c r="C42" s="125"/>
      <c r="D42" s="125"/>
      <c r="E42" s="125"/>
      <c r="F42" s="125"/>
      <c r="G42" s="125"/>
    </row>
    <row r="43" spans="1:7" s="62" customFormat="1" ht="14.1" customHeight="1" x14ac:dyDescent="0.2">
      <c r="A43" s="125" t="s">
        <v>85</v>
      </c>
      <c r="B43" s="125"/>
      <c r="C43" s="125"/>
      <c r="D43" s="125"/>
      <c r="E43" s="125"/>
      <c r="F43" s="125"/>
      <c r="G43" s="125"/>
    </row>
    <row r="44" spans="1:7" s="62" customFormat="1" ht="14.1" customHeight="1" x14ac:dyDescent="0.2">
      <c r="A44" s="125" t="s">
        <v>84</v>
      </c>
      <c r="B44" s="125"/>
      <c r="C44" s="125"/>
      <c r="D44" s="125"/>
      <c r="E44" s="125"/>
      <c r="F44" s="125"/>
      <c r="G44" s="125"/>
    </row>
    <row r="45" spans="1:7" s="62" customFormat="1" ht="14.1" customHeight="1" x14ac:dyDescent="0.2">
      <c r="A45" s="125" t="s">
        <v>83</v>
      </c>
      <c r="B45" s="125"/>
      <c r="C45" s="125"/>
      <c r="D45" s="125"/>
      <c r="E45" s="125"/>
      <c r="F45" s="125"/>
      <c r="G45" s="125"/>
    </row>
    <row r="46" spans="1:7" s="62" customFormat="1" ht="14.1" customHeight="1" x14ac:dyDescent="0.2">
      <c r="A46" s="123" t="s">
        <v>82</v>
      </c>
      <c r="B46" s="123"/>
      <c r="C46" s="123"/>
      <c r="D46" s="123"/>
      <c r="E46" s="123"/>
      <c r="F46" s="123"/>
      <c r="G46" s="123"/>
    </row>
    <row r="47" spans="1:7" s="62" customFormat="1" ht="14.1" customHeight="1" x14ac:dyDescent="0.2">
      <c r="A47" s="123"/>
      <c r="B47" s="123"/>
      <c r="C47" s="123"/>
      <c r="D47" s="123"/>
      <c r="E47" s="123"/>
      <c r="F47" s="123"/>
      <c r="G47" s="123"/>
    </row>
  </sheetData>
  <sheetProtection algorithmName="SHA-512" hashValue="l0lLjeA4P26Tp2rA2SS0i0ck79u1DXwaOELX9iyXMm1Ei9kVpK/2a429rTX+/IBkrkotT20Gkz5hWNDWh/AjVw==" saltValue="Ee6FoTZWCQhsOfd2XAymQg==" spinCount="100000" sheet="1" formatRows="0"/>
  <mergeCells count="13">
    <mergeCell ref="A22:G22"/>
    <mergeCell ref="A23:G24"/>
    <mergeCell ref="A1:G1"/>
    <mergeCell ref="A46:G46"/>
    <mergeCell ref="A47:G47"/>
    <mergeCell ref="A40:G40"/>
    <mergeCell ref="A41:G41"/>
    <mergeCell ref="A42:G42"/>
    <mergeCell ref="A43:G43"/>
    <mergeCell ref="A44:G44"/>
    <mergeCell ref="A45:G45"/>
    <mergeCell ref="D7:G7"/>
    <mergeCell ref="D5:G5"/>
  </mergeCells>
  <dataValidations count="1">
    <dataValidation operator="greaterThanOrEqual" allowBlank="1" showInputMessage="1" showErrorMessage="1" sqref="D3:E3" xr:uid="{932333AC-F051-4AA9-83D1-A83EC43511AB}"/>
  </dataValidations>
  <hyperlinks>
    <hyperlink ref="A23" r:id="rId1" xr:uid="{A74E11BD-62FB-4D36-BCF0-3632F32FD7B2}"/>
  </hyperlinks>
  <pageMargins left="0.23622047244094491" right="0.23622047244094491" top="0.74803149606299213" bottom="0.74803149606299213" header="0.31496062992125984" footer="0.31496062992125984"/>
  <pageSetup paperSize="9" scale="56" orientation="portrait" r:id="rId2"/>
  <headerFooter differentFirst="1">
    <firstFooter>&amp;LForm 42-10-3</first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38A3-445F-4C91-A790-9F0673D05DFB}">
  <sheetPr codeName="Tabelle2">
    <pageSetUpPr fitToPage="1"/>
  </sheetPr>
  <dimension ref="B2:G34"/>
  <sheetViews>
    <sheetView showGridLines="0" zoomScaleNormal="100" workbookViewId="0">
      <pane ySplit="10" topLeftCell="A11" activePane="bottomLeft" state="frozen"/>
      <selection activeCell="F3" sqref="F3"/>
      <selection pane="bottomLeft" activeCell="B36" sqref="B36"/>
    </sheetView>
  </sheetViews>
  <sheetFormatPr baseColWidth="10" defaultColWidth="11.42578125" defaultRowHeight="12" x14ac:dyDescent="0.2"/>
  <cols>
    <col min="1" max="1" width="2.7109375" customWidth="1"/>
    <col min="2" max="2" width="15" customWidth="1"/>
    <col min="3" max="3" width="19" customWidth="1"/>
    <col min="4" max="4" width="19.42578125" customWidth="1"/>
    <col min="5" max="5" width="14.42578125" customWidth="1"/>
    <col min="6" max="6" width="21.140625" customWidth="1"/>
    <col min="7" max="7" width="66.140625" customWidth="1"/>
  </cols>
  <sheetData>
    <row r="2" spans="2:7" x14ac:dyDescent="0.2">
      <c r="B2" s="127" t="s">
        <v>55</v>
      </c>
      <c r="C2" s="127"/>
      <c r="D2" s="127"/>
      <c r="E2" s="127"/>
      <c r="F2" s="127"/>
      <c r="G2" s="127"/>
    </row>
    <row r="3" spans="2:7" x14ac:dyDescent="0.2">
      <c r="B3" s="50" t="s">
        <v>56</v>
      </c>
    </row>
    <row r="4" spans="2:7" x14ac:dyDescent="0.2">
      <c r="B4" s="50" t="s">
        <v>57</v>
      </c>
    </row>
    <row r="5" spans="2:7" s="2" customFormat="1" ht="5.25" x14ac:dyDescent="0.2"/>
    <row r="6" spans="2:7" x14ac:dyDescent="0.2">
      <c r="B6" t="s">
        <v>58</v>
      </c>
      <c r="C6" s="100" t="str">
        <f>IF('Preisblatt | Leistung'!B3="","",'Preisblatt | Leistung'!B3)</f>
        <v>81311588</v>
      </c>
      <c r="E6" t="s">
        <v>1</v>
      </c>
      <c r="F6" s="15">
        <f>'Preisblatt | Leistung'!D3</f>
        <v>0</v>
      </c>
    </row>
    <row r="7" spans="2:7" s="2" customFormat="1" ht="5.25" x14ac:dyDescent="0.2">
      <c r="C7" s="13"/>
      <c r="F7" s="14"/>
    </row>
    <row r="8" spans="2:7" x14ac:dyDescent="0.2">
      <c r="B8" t="s">
        <v>59</v>
      </c>
      <c r="C8" t="str">
        <f>IF('Preisblatt | Leistung'!B5="","",'Preisblatt | Leistung'!B5)</f>
        <v>15590</v>
      </c>
      <c r="F8" s="4"/>
    </row>
    <row r="9" spans="2:7" s="2" customFormat="1" ht="5.25" x14ac:dyDescent="0.2">
      <c r="C9" s="13"/>
      <c r="F9" s="13"/>
    </row>
    <row r="10" spans="2:7" ht="24" x14ac:dyDescent="0.2">
      <c r="B10" s="3" t="s">
        <v>60</v>
      </c>
      <c r="C10" s="3" t="s">
        <v>19</v>
      </c>
      <c r="D10" s="3" t="s">
        <v>61</v>
      </c>
      <c r="E10" s="3" t="s">
        <v>62</v>
      </c>
      <c r="F10" s="3" t="s">
        <v>63</v>
      </c>
      <c r="G10" s="3" t="s">
        <v>64</v>
      </c>
    </row>
    <row r="11" spans="2:7" x14ac:dyDescent="0.2">
      <c r="B11" s="12" t="s">
        <v>23</v>
      </c>
      <c r="C11" s="12"/>
      <c r="D11" s="12"/>
      <c r="E11" s="19"/>
      <c r="F11" s="12"/>
      <c r="G11" s="12"/>
    </row>
    <row r="12" spans="2:7" x14ac:dyDescent="0.2">
      <c r="B12" s="12" t="s">
        <v>25</v>
      </c>
      <c r="C12" s="12"/>
      <c r="D12" s="12" t="s">
        <v>69</v>
      </c>
      <c r="E12" s="19"/>
      <c r="F12" s="12"/>
      <c r="G12" s="12"/>
    </row>
    <row r="13" spans="2:7" x14ac:dyDescent="0.2">
      <c r="B13" s="12" t="s">
        <v>26</v>
      </c>
      <c r="C13" s="12"/>
      <c r="D13" s="12"/>
      <c r="E13" s="19"/>
      <c r="F13" s="12"/>
      <c r="G13" s="12"/>
    </row>
    <row r="14" spans="2:7" x14ac:dyDescent="0.2">
      <c r="B14" s="12" t="s">
        <v>27</v>
      </c>
      <c r="C14" s="12"/>
      <c r="D14" s="12"/>
      <c r="E14" s="19"/>
      <c r="F14" s="12"/>
      <c r="G14" s="12"/>
    </row>
    <row r="15" spans="2:7" x14ac:dyDescent="0.2">
      <c r="B15" s="12" t="s">
        <v>65</v>
      </c>
      <c r="C15" s="12"/>
      <c r="D15" s="12"/>
      <c r="E15" s="19"/>
      <c r="F15" s="12"/>
      <c r="G15" s="12"/>
    </row>
    <row r="16" spans="2:7" x14ac:dyDescent="0.2">
      <c r="B16" s="12" t="s">
        <v>66</v>
      </c>
      <c r="C16" s="12"/>
      <c r="D16" s="12"/>
      <c r="E16" s="19"/>
      <c r="F16" s="12"/>
      <c r="G16" s="12"/>
    </row>
    <row r="17" spans="2:7" x14ac:dyDescent="0.2">
      <c r="B17" s="12" t="s">
        <v>67</v>
      </c>
      <c r="C17" s="12"/>
      <c r="D17" s="12"/>
      <c r="E17" s="19"/>
      <c r="F17" s="12"/>
      <c r="G17" s="12"/>
    </row>
    <row r="18" spans="2:7" x14ac:dyDescent="0.2">
      <c r="B18" s="12"/>
      <c r="C18" s="12"/>
      <c r="D18" s="12"/>
      <c r="E18" s="19"/>
      <c r="F18" s="12"/>
      <c r="G18" s="12"/>
    </row>
    <row r="19" spans="2:7" x14ac:dyDescent="0.2">
      <c r="B19" s="12"/>
      <c r="C19" s="12"/>
      <c r="D19" s="12"/>
      <c r="E19" s="19"/>
      <c r="F19" s="12"/>
      <c r="G19" s="12"/>
    </row>
    <row r="20" spans="2:7" x14ac:dyDescent="0.2">
      <c r="B20" s="12"/>
      <c r="C20" s="12"/>
      <c r="D20" s="12"/>
      <c r="E20" s="19"/>
      <c r="F20" s="12"/>
      <c r="G20" s="12"/>
    </row>
    <row r="21" spans="2:7" x14ac:dyDescent="0.2">
      <c r="B21" s="12"/>
      <c r="C21" s="12"/>
      <c r="D21" s="12"/>
      <c r="E21" s="19"/>
      <c r="F21" s="12"/>
      <c r="G21" s="12"/>
    </row>
    <row r="22" spans="2:7" x14ac:dyDescent="0.2">
      <c r="B22" s="12"/>
      <c r="C22" s="12"/>
      <c r="D22" s="12"/>
      <c r="E22" s="19"/>
      <c r="F22" s="12"/>
      <c r="G22" s="12"/>
    </row>
    <row r="23" spans="2:7" x14ac:dyDescent="0.2">
      <c r="B23" s="12"/>
      <c r="C23" s="12"/>
      <c r="D23" s="12"/>
      <c r="E23" s="19"/>
      <c r="F23" s="12"/>
      <c r="G23" s="12"/>
    </row>
    <row r="24" spans="2:7" x14ac:dyDescent="0.2">
      <c r="B24" s="12"/>
      <c r="C24" s="12"/>
      <c r="D24" s="12"/>
      <c r="E24" s="19"/>
      <c r="F24" s="12"/>
      <c r="G24" s="12"/>
    </row>
    <row r="25" spans="2:7" x14ac:dyDescent="0.2">
      <c r="B25" s="12"/>
      <c r="C25" s="12"/>
      <c r="D25" s="12"/>
      <c r="E25" s="19"/>
      <c r="F25" s="12"/>
      <c r="G25" s="12"/>
    </row>
    <row r="26" spans="2:7" x14ac:dyDescent="0.2">
      <c r="B26" s="12"/>
      <c r="C26" s="12"/>
      <c r="D26" s="12"/>
      <c r="E26" s="19"/>
      <c r="F26" s="12"/>
      <c r="G26" s="12"/>
    </row>
    <row r="27" spans="2:7" x14ac:dyDescent="0.2">
      <c r="B27" s="12"/>
      <c r="C27" s="12"/>
      <c r="D27" s="12"/>
      <c r="E27" s="19"/>
      <c r="F27" s="12"/>
      <c r="G27" s="12"/>
    </row>
    <row r="28" spans="2:7" x14ac:dyDescent="0.2">
      <c r="B28" s="12"/>
      <c r="C28" s="12"/>
      <c r="D28" s="12"/>
      <c r="E28" s="19"/>
      <c r="F28" s="12"/>
      <c r="G28" s="12"/>
    </row>
    <row r="29" spans="2:7" x14ac:dyDescent="0.2">
      <c r="B29" s="12"/>
      <c r="C29" s="12"/>
      <c r="D29" s="12"/>
      <c r="E29" s="19"/>
      <c r="F29" s="12"/>
      <c r="G29" s="12"/>
    </row>
    <row r="30" spans="2:7" x14ac:dyDescent="0.2">
      <c r="B30" s="12"/>
      <c r="C30" s="12"/>
      <c r="D30" s="12"/>
      <c r="E30" s="19"/>
      <c r="F30" s="12"/>
      <c r="G30" s="12"/>
    </row>
    <row r="31" spans="2:7" x14ac:dyDescent="0.2">
      <c r="B31" s="12"/>
      <c r="C31" s="12"/>
      <c r="D31" s="12"/>
      <c r="E31" s="19"/>
      <c r="F31" s="12"/>
      <c r="G31" s="12"/>
    </row>
    <row r="32" spans="2:7" x14ac:dyDescent="0.2">
      <c r="B32" s="12"/>
      <c r="C32" s="12"/>
      <c r="D32" s="12"/>
      <c r="E32" s="19"/>
      <c r="F32" s="12"/>
      <c r="G32" s="12"/>
    </row>
    <row r="33" spans="2:7" x14ac:dyDescent="0.2">
      <c r="B33" s="12"/>
      <c r="C33" s="12"/>
      <c r="D33" s="12"/>
      <c r="E33" s="19"/>
      <c r="F33" s="12"/>
      <c r="G33" s="12"/>
    </row>
    <row r="34" spans="2:7" x14ac:dyDescent="0.2">
      <c r="B34" s="12"/>
      <c r="C34" s="12"/>
      <c r="D34" s="12"/>
      <c r="E34" s="19"/>
      <c r="F34" s="12"/>
      <c r="G34" s="12"/>
    </row>
  </sheetData>
  <sheetProtection algorithmName="SHA-512" hashValue="+4blmsfg+i1g/Bhz5wIs9g69MPZkh80r+tomvv2TjCqI1oUUg7Pn90I7StFmb8oimGZfVwuB5ORB+UeWS1IY+Q==" saltValue="czigYs1gkRuUmtjIWxAOsg==" spinCount="100000" sheet="1" formatCells="0" formatColumns="0" formatRows="0"/>
  <mergeCells count="1">
    <mergeCell ref="B2:G2"/>
  </mergeCells>
  <pageMargins left="0.25" right="0.25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184-2873-4835-8783-6FF05E5DDCD6}">
  <sheetPr codeName="Tabelle3"/>
  <dimension ref="B3:B7"/>
  <sheetViews>
    <sheetView workbookViewId="0">
      <selection activeCell="D19" sqref="D19"/>
    </sheetView>
  </sheetViews>
  <sheetFormatPr baseColWidth="10" defaultColWidth="11.42578125" defaultRowHeight="12" x14ac:dyDescent="0.2"/>
  <cols>
    <col min="2" max="2" width="14.85546875" customWidth="1"/>
  </cols>
  <sheetData>
    <row r="3" spans="2:2" x14ac:dyDescent="0.2">
      <c r="B3" t="s">
        <v>20</v>
      </c>
    </row>
    <row r="4" spans="2:2" x14ac:dyDescent="0.2">
      <c r="B4" t="s">
        <v>38</v>
      </c>
    </row>
    <row r="5" spans="2:2" x14ac:dyDescent="0.2">
      <c r="B5" t="s">
        <v>31</v>
      </c>
    </row>
    <row r="6" spans="2:2" x14ac:dyDescent="0.2">
      <c r="B6" t="s">
        <v>37</v>
      </c>
    </row>
    <row r="7" spans="2:2" x14ac:dyDescent="0.2">
      <c r="B7" t="s">
        <v>68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6c0526-271a-44e2-95e6-2a3faf27ea0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81FA46C2C1FBE4593E30FA993AA7509" ma:contentTypeVersion="10" ma:contentTypeDescription="Ein neues Dokument erstellen." ma:contentTypeScope="" ma:versionID="c4328bb52ee6a3bc4bb1bb4a64765a39">
  <xsd:schema xmlns:xsd="http://www.w3.org/2001/XMLSchema" xmlns:xs="http://www.w3.org/2001/XMLSchema" xmlns:p="http://schemas.microsoft.com/office/2006/metadata/properties" xmlns:ns2="166c0526-271a-44e2-95e6-2a3faf27ea02" xmlns:ns3="9122d524-3646-49d0-8311-fe09a929df34" targetNamespace="http://schemas.microsoft.com/office/2006/metadata/properties" ma:root="true" ma:fieldsID="dccb96ab5d9dc7d6e276e2a24c8b7cb7" ns2:_="" ns3:_="">
    <xsd:import namespace="166c0526-271a-44e2-95e6-2a3faf27ea02"/>
    <xsd:import namespace="9122d524-3646-49d0-8311-fe09a929df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6c0526-271a-44e2-95e6-2a3faf27e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0aed264e-563a-469a-8ebe-271e849ec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2d524-3646-49d0-8311-fe09a929df3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DD4B7C-F144-4685-A4C0-8AEC220FF8E1}">
  <ds:schemaRefs>
    <ds:schemaRef ds:uri="9122d524-3646-49d0-8311-fe09a929df34"/>
    <ds:schemaRef ds:uri="http://purl.org/dc/terms/"/>
    <ds:schemaRef ds:uri="http://schemas.microsoft.com/office/2006/documentManagement/types"/>
    <ds:schemaRef ds:uri="166c0526-271a-44e2-95e6-2a3faf27ea02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F4A914A-292B-4641-B037-E4461B45E2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6c0526-271a-44e2-95e6-2a3faf27ea02"/>
    <ds:schemaRef ds:uri="9122d524-3646-49d0-8311-fe09a929df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902B45-160B-4AB7-BA79-9FBFD819D1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12</vt:i4>
      </vt:variant>
    </vt:vector>
  </HeadingPairs>
  <TitlesOfParts>
    <vt:vector size="17" baseType="lpstr">
      <vt:lpstr>Preisblatt | Leistung</vt:lpstr>
      <vt:lpstr>Preisblatt | opt. Leistung</vt:lpstr>
      <vt:lpstr>Summe Leistung + opt. Leist.</vt:lpstr>
      <vt:lpstr>Liste der Schlüsselfachkräfte</vt:lpstr>
      <vt:lpstr>Listen</vt:lpstr>
      <vt:lpstr>'Preisblatt | Leistung'!Druckbereich</vt:lpstr>
      <vt:lpstr>'Preisblatt | opt. Leistung'!Druckbereich</vt:lpstr>
      <vt:lpstr>'Summe Leistung + opt. Leist.'!Druckbereich</vt:lpstr>
      <vt:lpstr>'Preisblatt | Leistung'!Drucktitel</vt:lpstr>
      <vt:lpstr>'Preisblatt | opt. Leistung'!Drucktitel</vt:lpstr>
      <vt:lpstr>'Summe Leistung + opt. Leist.'!Drucktitel</vt:lpstr>
      <vt:lpstr>'Preisblatt | opt. Leistung'!Ersatzspalten</vt:lpstr>
      <vt:lpstr>Ersatzspalten</vt:lpstr>
      <vt:lpstr>Erstattungsart</vt:lpstr>
      <vt:lpstr>lSFK</vt:lpstr>
      <vt:lpstr>'Preisblatt | opt. Leistung'!rZeilen</vt:lpstr>
      <vt:lpstr>rZeilen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42-11-6, preisblatt-us-kv, deutsch Stand Januar 2024</dc:title>
  <dc:subject/>
  <dc:creator>Paounova, Dima GIZ</dc:creator>
  <cp:keywords/>
  <dc:description/>
  <cp:lastModifiedBy>Paounova, Dima GIZ</cp:lastModifiedBy>
  <cp:revision/>
  <cp:lastPrinted>2023-02-01T09:13:54Z</cp:lastPrinted>
  <dcterms:created xsi:type="dcterms:W3CDTF">2020-06-06T12:03:03Z</dcterms:created>
  <dcterms:modified xsi:type="dcterms:W3CDTF">2024-10-15T11:26:14Z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0x010100A81FA46C2C1FBE4593E30FA993AA7509</vt:lpwstr>
  </property>
</Properties>
</file>